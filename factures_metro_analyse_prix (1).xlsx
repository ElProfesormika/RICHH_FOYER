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Évolution prix" sheetId="2" state="visible" r:id="rId4"/>
    <sheet name="Articles avec variations" sheetId="3" state="visible" r:id="rId5"/>
    <sheet name="Toutes les lignes" sheetId="4" state="visible" r:id="rId6"/>
    <sheet name="Historique par article" sheetId="5" state="visible" r:id="rId7"/>
  </sheets>
  <definedNames>
    <definedName function="false" hidden="true" localSheetId="2" name="_xlnm._FilterDatabase" vbProcedure="false">'Articles avec variations'!$A$4:$L$54</definedName>
    <definedName function="false" hidden="true" localSheetId="1" name="_xlnm._FilterDatabase" vbProcedure="false">'Évolution prix'!$A$4:$AE$142</definedName>
    <definedName function="false" hidden="true" localSheetId="4" name="_xlnm._FilterDatabase" vbProcedure="false">'Historique par article'!$A$4:$I$416</definedName>
    <definedName function="false" hidden="true" localSheetId="0" name="_xlnm._FilterDatabase" vbProcedure="false">Synthèse!$A$4:$I$23</definedName>
    <definedName function="false" hidden="true" localSheetId="3" name="_xlnm._FilterDatabase" vbProcedure="false">'Toutes les lignes'!$A$4:$O$416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<sst xmlns="http://schemas.openxmlformats.org/spreadsheetml/2006/main" count="5546" uniqueCount="390">
  <si>
    <t xml:space="preserve">Synthèse des factures METRO France – METRO TROYES</t>
  </si>
  <si>
    <t xml:space="preserve">Client : BUREAU ETUDIANTS UNIVERSITE TECHNOLOGIE (BDE UTT TROYES) – 18 factures du 06/11/2025 au 05/05/2026</t>
  </si>
  <si>
    <t xml:space="preserve">Date facture</t>
  </si>
  <si>
    <t xml:space="preserve">Nº Facture</t>
  </si>
  <si>
    <t xml:space="preserve">Caisse</t>
  </si>
  <si>
    <t xml:space="preserve">Nb lignes</t>
  </si>
  <si>
    <t xml:space="preserve">Total HT (€)</t>
  </si>
  <si>
    <t xml:space="preserve">Total TVA (€)</t>
  </si>
  <si>
    <t xml:space="preserve">Total TTC (€)</t>
  </si>
  <si>
    <t xml:space="preserve">Δ TTC vs préc.</t>
  </si>
  <si>
    <t xml:space="preserve">% évol. TTC</t>
  </si>
  <si>
    <t xml:space="preserve">052-010141</t>
  </si>
  <si>
    <t xml:space="preserve">052</t>
  </si>
  <si>
    <t xml:space="preserve">051-017422</t>
  </si>
  <si>
    <t xml:space="preserve">051</t>
  </si>
  <si>
    <t xml:space="preserve">053-005532</t>
  </si>
  <si>
    <t xml:space="preserve">053</t>
  </si>
  <si>
    <t xml:space="preserve">053-005533</t>
  </si>
  <si>
    <t xml:space="preserve">051-020392</t>
  </si>
  <si>
    <t xml:space="preserve">053-006258</t>
  </si>
  <si>
    <t xml:space="preserve">052-014511</t>
  </si>
  <si>
    <t xml:space="preserve">051-022757</t>
  </si>
  <si>
    <t xml:space="preserve">053-006724</t>
  </si>
  <si>
    <t xml:space="preserve">052-018746</t>
  </si>
  <si>
    <t xml:space="preserve">052-018861</t>
  </si>
  <si>
    <t xml:space="preserve">051-034675</t>
  </si>
  <si>
    <t xml:space="preserve">052-023338</t>
  </si>
  <si>
    <t xml:space="preserve">051-038133</t>
  </si>
  <si>
    <t xml:space="preserve">057-003147</t>
  </si>
  <si>
    <t xml:space="preserve">057</t>
  </si>
  <si>
    <t xml:space="preserve">052-027434</t>
  </si>
  <si>
    <t xml:space="preserve">057-003473</t>
  </si>
  <si>
    <t xml:space="preserve">057-003825</t>
  </si>
  <si>
    <t xml:space="preserve">TOTAL</t>
  </si>
  <si>
    <t xml:space="preserve">📌 À propos de l'analyse des prix</t>
  </si>
  <si>
    <t xml:space="preserve">Les prix unitaires affichés sur les factures METRO peuvent désigner deux choses différentes :</t>
  </si>
  <si>
    <t xml:space="preserve">  • Soit le prix par pièce individuelle (prix_unit × colisage × qté = montant)</t>
  </si>
  <si>
    <t xml:space="preserve">  • Soit le prix par colis/pack vendu (prix_unit × qté = montant)</t>
  </si>
  <si>
    <t xml:space="preserve">Pour comparer équitablement les prix d'un article entre les factures, l'onglet « Évolution prix » utilise un</t>
  </si>
  <si>
    <t xml:space="preserve">prix NORMALISÉ par colis (= montant / quantité). Les variations affichées sont donc réelles.</t>
  </si>
  <si>
    <t xml:space="preserve">Les cellules en jaune indiquent des prix promotionnels (mention « P » sur la facture).</t>
  </si>
  <si>
    <t xml:space="preserve">Évolution des prix par article (prix normalisé par colis vendu)</t>
  </si>
  <si>
    <t xml:space="preserve">Prix = montant / quantité (= prix d'un colis vendu). Échelle de couleur par ligne : vert = prix bas, rouge = prix élevé. Cellules jaunes = prix promotionnel.</t>
  </si>
  <si>
    <t xml:space="preserve">Nº Article</t>
  </si>
  <si>
    <t xml:space="preserve">Désignation</t>
  </si>
  <si>
    <t xml:space="preserve">Rayon</t>
  </si>
  <si>
    <t xml:space="preserve">TVA</t>
  </si>
  <si>
    <t xml:space="preserve">Unité</t>
  </si>
  <si>
    <t xml:space="preserve">Prix mini (€)</t>
  </si>
  <si>
    <t xml:space="preserve">Prix maxi (€)</t>
  </si>
  <si>
    <t xml:space="preserve">Écart (€)</t>
  </si>
  <si>
    <t xml:space="preserve">Écart %</t>
  </si>
  <si>
    <t xml:space="preserve">Nb prix distincts</t>
  </si>
  <si>
    <t xml:space="preserve">Nb apparitions</t>
  </si>
  <si>
    <t xml:space="preserve">Prix 1er (€)</t>
  </si>
  <si>
    <t xml:space="preserve">Prix dernier (€)</t>
  </si>
  <si>
    <t xml:space="preserve">06-11-2025</t>
  </si>
  <si>
    <t xml:space="preserve">18-11-2025</t>
  </si>
  <si>
    <t xml:space="preserve">25-11-2025
053-005532</t>
  </si>
  <si>
    <t xml:space="preserve">25-11-2025
053-005533</t>
  </si>
  <si>
    <t xml:space="preserve">04-12-2025</t>
  </si>
  <si>
    <t xml:space="preserve">09-12-2025</t>
  </si>
  <si>
    <t xml:space="preserve">11-12-2025</t>
  </si>
  <si>
    <t xml:space="preserve">16-12-2025
051-022757</t>
  </si>
  <si>
    <t xml:space="preserve">16-12-2025
053-006724</t>
  </si>
  <si>
    <t xml:space="preserve">15-01-2026</t>
  </si>
  <si>
    <t xml:space="preserve">16-01-2026</t>
  </si>
  <si>
    <t xml:space="preserve">23-02-2026</t>
  </si>
  <si>
    <t xml:space="preserve">02-03-2026</t>
  </si>
  <si>
    <t xml:space="preserve">16-03-2026</t>
  </si>
  <si>
    <t xml:space="preserve">24-03-2026</t>
  </si>
  <si>
    <t xml:space="preserve">08-04-2026</t>
  </si>
  <si>
    <t xml:space="preserve">13-04-2026</t>
  </si>
  <si>
    <t xml:space="preserve">05-05-2026</t>
  </si>
  <si>
    <t xml:space="preserve">2155760</t>
  </si>
  <si>
    <t xml:space="preserve">KINDER BUENO</t>
  </si>
  <si>
    <t xml:space="preserve">BEURRE ŒUF ET UF, BRASSERIE</t>
  </si>
  <si>
    <t xml:space="preserve">B (5,5%)</t>
  </si>
  <si>
    <t xml:space="preserve">€/colis</t>
  </si>
  <si>
    <t xml:space="preserve">2029536</t>
  </si>
  <si>
    <t xml:space="preserve">COCA SANS SUCRES 33CL</t>
  </si>
  <si>
    <t xml:space="preserve">EPICERIE SUCREE</t>
  </si>
  <si>
    <t xml:space="preserve">2156503</t>
  </si>
  <si>
    <t xml:space="preserve">KINDER BUENO WHITE</t>
  </si>
  <si>
    <t xml:space="preserve">2461440</t>
  </si>
  <si>
    <t xml:space="preserve">MONSTER MANGO LOCO BOITE 50CL</t>
  </si>
  <si>
    <t xml:space="preserve">2989598</t>
  </si>
  <si>
    <t xml:space="preserve">MONSTER PIPELINE PUNCH BT 50CL</t>
  </si>
  <si>
    <t xml:space="preserve">3104171</t>
  </si>
  <si>
    <t xml:space="preserve">MONSTER ULTRA ZERO BTE 50CL</t>
  </si>
  <si>
    <t xml:space="preserve">2015675</t>
  </si>
  <si>
    <t xml:space="preserve">SCHWEPPES POMME SLIM 33CL</t>
  </si>
  <si>
    <t xml:space="preserve">1764182</t>
  </si>
  <si>
    <t xml:space="preserve">LION PEANUT 41G</t>
  </si>
  <si>
    <t xml:space="preserve">2469567</t>
  </si>
  <si>
    <t xml:space="preserve">MILKA 2 COOKIES SENSATION</t>
  </si>
  <si>
    <t xml:space="preserve">2470995</t>
  </si>
  <si>
    <t xml:space="preserve">MILKA BROWNIE 50G PRES.</t>
  </si>
  <si>
    <t xml:space="preserve">BRASSERIE</t>
  </si>
  <si>
    <t xml:space="preserve">3082658</t>
  </si>
  <si>
    <t xml:space="preserve">7UP MOJITO BTE 33CL SLIM</t>
  </si>
  <si>
    <t xml:space="preserve">2025856</t>
  </si>
  <si>
    <t xml:space="preserve">CACOLAC BOITE 25CL X6</t>
  </si>
  <si>
    <t xml:space="preserve">2461713</t>
  </si>
  <si>
    <t xml:space="preserve">FANTA MANG/FR DRAG BTE 33CL</t>
  </si>
  <si>
    <t xml:space="preserve">2687697</t>
  </si>
  <si>
    <t xml:space="preserve">OASIS POM/CASS/FRAM SLIM 33CL</t>
  </si>
  <si>
    <t xml:space="preserve">2382299</t>
  </si>
  <si>
    <t xml:space="preserve">SAN PELL MELOGRANO BTE 33CL</t>
  </si>
  <si>
    <t xml:space="preserve">2015642</t>
  </si>
  <si>
    <t xml:space="preserve">SCHWEPPES AGRUM SLIM 33CL</t>
  </si>
  <si>
    <t xml:space="preserve">2015667</t>
  </si>
  <si>
    <t xml:space="preserve">SCHWEPPES LEMON SLIM 33CL</t>
  </si>
  <si>
    <t xml:space="preserve">2469658</t>
  </si>
  <si>
    <t xml:space="preserve">BOUNTY BARRE 57G</t>
  </si>
  <si>
    <t xml:space="preserve">D (20%)</t>
  </si>
  <si>
    <t xml:space="preserve">1516475</t>
  </si>
  <si>
    <t xml:space="preserve">GRANOLA LAIT LOT DE 200GX9</t>
  </si>
  <si>
    <t xml:space="preserve">1768167</t>
  </si>
  <si>
    <t xml:space="preserve">LION BARRE 42G NESTLE</t>
  </si>
  <si>
    <t xml:space="preserve">2471712</t>
  </si>
  <si>
    <t xml:space="preserve">M M'S PEANUT 45G SACHETS</t>
  </si>
  <si>
    <t xml:space="preserve">2474799</t>
  </si>
  <si>
    <t xml:space="preserve">PETIT ECOLIER CHOC.LAIT 150GX6</t>
  </si>
  <si>
    <t xml:space="preserve">2467561</t>
  </si>
  <si>
    <t xml:space="preserve">PRINCE POCKET 80G PR</t>
  </si>
  <si>
    <t xml:space="preserve">2476455</t>
  </si>
  <si>
    <t xml:space="preserve">TWIX 50G</t>
  </si>
  <si>
    <t xml:space="preserve">2473296</t>
  </si>
  <si>
    <t xml:space="preserve">DRAGIBUS SAC DE 2KG.</t>
  </si>
  <si>
    <t xml:space="preserve">0433433</t>
  </si>
  <si>
    <t xml:space="preserve">LU BARQUETTE CHOCOLAT 120GX4</t>
  </si>
  <si>
    <t xml:space="preserve">1153436</t>
  </si>
  <si>
    <t xml:space="preserve">OREO CLASSIQUE POCKET 176GX4</t>
  </si>
  <si>
    <t xml:space="preserve">2029494</t>
  </si>
  <si>
    <t xml:space="preserve">COCACOLA BOITE SLIM 33CL</t>
  </si>
  <si>
    <t xml:space="preserve">2029551</t>
  </si>
  <si>
    <t xml:space="preserve">COCACOLA CHERRY SLIM 33CL</t>
  </si>
  <si>
    <t xml:space="preserve">2882926</t>
  </si>
  <si>
    <t xml:space="preserve">DADA CERISE BTE SLIM 33CL</t>
  </si>
  <si>
    <t xml:space="preserve">3132735</t>
  </si>
  <si>
    <t xml:space="preserve">DR PEPPER COLA BTE 33CL</t>
  </si>
  <si>
    <t xml:space="preserve">2031458</t>
  </si>
  <si>
    <t xml:space="preserve">FANTA CITRON BTE SLIM 33CL</t>
  </si>
  <si>
    <t xml:space="preserve">2029692</t>
  </si>
  <si>
    <t xml:space="preserve">FANTA ORANGE BTE SLIM 33CL</t>
  </si>
  <si>
    <t xml:space="preserve">2645380</t>
  </si>
  <si>
    <t xml:space="preserve">FUZETEA MENTH/CITRON VERT 33CL</t>
  </si>
  <si>
    <t xml:space="preserve">2200434</t>
  </si>
  <si>
    <t xml:space="preserve">FUZETEA PECHE BOITE 33CL SLIM</t>
  </si>
  <si>
    <t xml:space="preserve">2817583</t>
  </si>
  <si>
    <t xml:space="preserve">MINUTE MAID POMME SLIM 33CL</t>
  </si>
  <si>
    <t xml:space="preserve">2015683</t>
  </si>
  <si>
    <t xml:space="preserve">OASIS TROPICAL SLIM BTE 33CL</t>
  </si>
  <si>
    <t xml:space="preserve">2816155</t>
  </si>
  <si>
    <t xml:space="preserve">SAN PELL BOITE SLIM 33CL</t>
  </si>
  <si>
    <t xml:space="preserve">2137701</t>
  </si>
  <si>
    <t xml:space="preserve">KINDER DELICE CACAO PACK DE10</t>
  </si>
  <si>
    <t xml:space="preserve">2156891</t>
  </si>
  <si>
    <t xml:space="preserve">KINDER MAXI T1 CHOCOLAT</t>
  </si>
  <si>
    <t xml:space="preserve">BEURRE ŒUF ET UF</t>
  </si>
  <si>
    <t xml:space="preserve">1873694</t>
  </si>
  <si>
    <t xml:space="preserve">KIT KAT 41.5G</t>
  </si>
  <si>
    <t xml:space="preserve">3055324</t>
  </si>
  <si>
    <t xml:space="preserve">MARS 51G UVC</t>
  </si>
  <si>
    <t xml:space="preserve">2256964</t>
  </si>
  <si>
    <t xml:space="preserve">MPRO SAC POUB INCORP 30X130L</t>
  </si>
  <si>
    <t xml:space="preserve">0582528</t>
  </si>
  <si>
    <t xml:space="preserve">MPRO TAMPON EPONGE ROUGE X10</t>
  </si>
  <si>
    <t xml:space="preserve">BEURRE ŒUF ET UF, BRASSERIE, FRUITS ET LEGUMES</t>
  </si>
  <si>
    <t xml:space="preserve">3055332</t>
  </si>
  <si>
    <t xml:space="preserve">SNICKERS 50G</t>
  </si>
  <si>
    <t xml:space="preserve">0493759</t>
  </si>
  <si>
    <t xml:space="preserve">TOPBAG SAC POUB TRANS 25X130L</t>
  </si>
  <si>
    <t xml:space="preserve">2137727</t>
  </si>
  <si>
    <t xml:space="preserve">KINDER MAXI T2</t>
  </si>
  <si>
    <t xml:space="preserve">2475739</t>
  </si>
  <si>
    <t xml:space="preserve">NAPOLITAINS CLASSIC 180GX6</t>
  </si>
  <si>
    <t xml:space="preserve">2467462</t>
  </si>
  <si>
    <t xml:space="preserve">SNICKERS 75G 2P</t>
  </si>
  <si>
    <t xml:space="preserve">2200376</t>
  </si>
  <si>
    <t xml:space="preserve">FUZETEA PECHE PET 125CL</t>
  </si>
  <si>
    <t xml:space="preserve">CAVE</t>
  </si>
  <si>
    <t xml:space="preserve">3046109</t>
  </si>
  <si>
    <t xml:space="preserve">*BUCHETTE CHEVRE 180G MC</t>
  </si>
  <si>
    <t xml:space="preserve">BEURRE ŒUF ET UF, EPICERIE SUCREE</t>
  </si>
  <si>
    <t xml:space="preserve">2477057</t>
  </si>
  <si>
    <t xml:space="preserve">*LAIT UHT 1/2ECR 1L PPX BK</t>
  </si>
  <si>
    <t xml:space="preserve">BRASSERIE, EPICERIE SUCREE</t>
  </si>
  <si>
    <t xml:space="preserve">2437200</t>
  </si>
  <si>
    <t xml:space="preserve">ALPRO COCO PRO 1 LITRE</t>
  </si>
  <si>
    <t xml:space="preserve">2979987</t>
  </si>
  <si>
    <t xml:space="preserve">MOZZA 41% MG COSSET 2,5KG MC</t>
  </si>
  <si>
    <t xml:space="preserve">2028181</t>
  </si>
  <si>
    <t xml:space="preserve">ORANGINA SLIM BOITE JAUN 33CL</t>
  </si>
  <si>
    <t xml:space="preserve">2027340</t>
  </si>
  <si>
    <t xml:space="preserve">SAN PELL LIMONATA BTE 33CL</t>
  </si>
  <si>
    <t xml:space="preserve">2005130</t>
  </si>
  <si>
    <t xml:space="preserve">100 SERV 1 PLI 33X33</t>
  </si>
  <si>
    <t xml:space="preserve">BEURRE ŒUF ET UF, CHARCUTERIE, FRUITS ET LEGUMES</t>
  </si>
  <si>
    <t xml:space="preserve">7112667</t>
  </si>
  <si>
    <t xml:space="preserve">CLEM "CORSE"CAL 2 METRO CHEF REG FR C1FRANCE</t>
  </si>
  <si>
    <t xml:space="preserve">7632649</t>
  </si>
  <si>
    <t xml:space="preserve">CLEM CLEMENULES MC 5.5K C.2 C1 ES ESPAGNE</t>
  </si>
  <si>
    <t xml:space="preserve">2520682</t>
  </si>
  <si>
    <t xml:space="preserve">EMMENTAL FR RAPE 1KG RIPPOZ</t>
  </si>
  <si>
    <t xml:space="preserve">1931542</t>
  </si>
  <si>
    <t xml:space="preserve">MPRO TAMPON /EPONG VERT X10</t>
  </si>
  <si>
    <t xml:space="preserve">7627433</t>
  </si>
  <si>
    <t xml:space="preserve">POM GALA MC 136/180 6.3KG C1 FRFRANCE</t>
  </si>
  <si>
    <t xml:space="preserve">0999409</t>
  </si>
  <si>
    <t xml:space="preserve">POM GOLDEN 13K C.150+ C2 FR FRANCE</t>
  </si>
  <si>
    <t xml:space="preserve">3040995</t>
  </si>
  <si>
    <t xml:space="preserve">ARO 400 SERV 29X29 1P BLANC</t>
  </si>
  <si>
    <t xml:space="preserve">BOUCHERIE</t>
  </si>
  <si>
    <t xml:space="preserve">2716231</t>
  </si>
  <si>
    <t xml:space="preserve">MPRO 1000 AGITATEUR BOIS 11CM</t>
  </si>
  <si>
    <t xml:space="preserve">BOUCHERIE, FRUITS ET LEGUMES</t>
  </si>
  <si>
    <t xml:space="preserve">2943967</t>
  </si>
  <si>
    <t xml:space="preserve">50 BTE SALADE BAMBOU 750ML</t>
  </si>
  <si>
    <t xml:space="preserve">1852805</t>
  </si>
  <si>
    <t xml:space="preserve">BARRE MR TOM 40G X 36</t>
  </si>
  <si>
    <t xml:space="preserve">2932630</t>
  </si>
  <si>
    <t xml:space="preserve">CHUPA BEST OF BTE DIS X150</t>
  </si>
  <si>
    <t xml:space="preserve">2469062</t>
  </si>
  <si>
    <t xml:space="preserve">FREED.S/S WHITE MENTDOU10DR</t>
  </si>
  <si>
    <t xml:space="preserve">0433326</t>
  </si>
  <si>
    <t xml:space="preserve">LU BARQUETTE FRAISE 120G X4</t>
  </si>
  <si>
    <t xml:space="preserve">0429589</t>
  </si>
  <si>
    <t xml:space="preserve">MANEGE CHUPA CHUPS 200SUCETT</t>
  </si>
  <si>
    <t xml:space="preserve">0293852</t>
  </si>
  <si>
    <t xml:space="preserve">MC CANNELLE BATON CEYL 50G PO</t>
  </si>
  <si>
    <t xml:space="preserve">0496679</t>
  </si>
  <si>
    <t xml:space="preserve">MC CANNELLE MOULUE 450G</t>
  </si>
  <si>
    <t xml:space="preserve">2419380</t>
  </si>
  <si>
    <t xml:space="preserve">MC ORIGAN EMINCE 150G</t>
  </si>
  <si>
    <t xml:space="preserve">2953180</t>
  </si>
  <si>
    <t xml:space="preserve">MC PESTO ROQUETTE 950G</t>
  </si>
  <si>
    <t xml:space="preserve">2419422</t>
  </si>
  <si>
    <t xml:space="preserve">MC POIV NOIR MOULU 550G MC</t>
  </si>
  <si>
    <t xml:space="preserve">1921444</t>
  </si>
  <si>
    <t xml:space="preserve">MC TOMATE ENTIERE PELEE 3/1</t>
  </si>
  <si>
    <t xml:space="preserve">1852763</t>
  </si>
  <si>
    <t xml:space="preserve">MINI CHAMALOWS 1KG</t>
  </si>
  <si>
    <t xml:space="preserve">3056207</t>
  </si>
  <si>
    <t xml:space="preserve">MPRO 100 BAGUET BAMB EMB 21 CM</t>
  </si>
  <si>
    <t xml:space="preserve">2805539</t>
  </si>
  <si>
    <t xml:space="preserve">MPRO 200 GANT NITRILE NOIR L</t>
  </si>
  <si>
    <t xml:space="preserve">2805414</t>
  </si>
  <si>
    <t xml:space="preserve">MPRO 200 GANT NITRILE NOIR M</t>
  </si>
  <si>
    <t xml:space="preserve">0823328</t>
  </si>
  <si>
    <t xml:space="preserve">MPRO FILM ALIMENTA 300MX44CM</t>
  </si>
  <si>
    <t xml:space="preserve">3051166</t>
  </si>
  <si>
    <t xml:space="preserve">MPRO FOURCHET BOIS 16 CM</t>
  </si>
  <si>
    <t xml:space="preserve">2244846</t>
  </si>
  <si>
    <t xml:space="preserve">MPRO LIQ VAISS MAIN BACT 10L</t>
  </si>
  <si>
    <t xml:space="preserve">1831098</t>
  </si>
  <si>
    <t xml:space="preserve">MPRO MINI BOBINE DC 2P 200FX6</t>
  </si>
  <si>
    <t xml:space="preserve">2863314</t>
  </si>
  <si>
    <t xml:space="preserve">MPRO PH 3P EXTRA DX 140F 24RLX</t>
  </si>
  <si>
    <t xml:space="preserve">2060721</t>
  </si>
  <si>
    <t xml:space="preserve">PEPITO LAIT 192G LOT X6</t>
  </si>
  <si>
    <t xml:space="preserve">2475010</t>
  </si>
  <si>
    <t xml:space="preserve">PICK UP LAIT SACHET 28G X24</t>
  </si>
  <si>
    <t xml:space="preserve">2597144</t>
  </si>
  <si>
    <t xml:space="preserve">POM'POTES SSA POMME X48</t>
  </si>
  <si>
    <t xml:space="preserve">2416279</t>
  </si>
  <si>
    <t xml:space="preserve">ROCH CLOUS GIROFLE 30G</t>
  </si>
  <si>
    <t xml:space="preserve">2416220</t>
  </si>
  <si>
    <t xml:space="preserve">ROCH MUSCADE MOULUE 50G</t>
  </si>
  <si>
    <t xml:space="preserve">2941847</t>
  </si>
  <si>
    <t xml:space="preserve">WHITE SPIRIT 1L</t>
  </si>
  <si>
    <t xml:space="preserve">2327807</t>
  </si>
  <si>
    <t xml:space="preserve">COCA COLA REG PET 1,25L</t>
  </si>
  <si>
    <t xml:space="preserve">2025724</t>
  </si>
  <si>
    <t xml:space="preserve">ORANGINA JAUN 1.5L</t>
  </si>
  <si>
    <t xml:space="preserve">2032043</t>
  </si>
  <si>
    <t xml:space="preserve">ROCHAMBEAU LIMONADE PET 1,5L</t>
  </si>
  <si>
    <t xml:space="preserve">7630502</t>
  </si>
  <si>
    <t xml:space="preserve">BAN 5DGT PC26 C1 CICOTE IVOIRE</t>
  </si>
  <si>
    <t xml:space="preserve">CHARCUTERIE</t>
  </si>
  <si>
    <t xml:space="preserve">7149255</t>
  </si>
  <si>
    <t xml:space="preserve">CITR NT PRIMO MC 2.5K C.4 C1 ES ESPAGNE</t>
  </si>
  <si>
    <t xml:space="preserve">7623812</t>
  </si>
  <si>
    <t xml:space="preserve">OR NAVEL MC 2K C.3/4 FILET10 ES ESPAGNE</t>
  </si>
  <si>
    <t xml:space="preserve">7628068</t>
  </si>
  <si>
    <t xml:space="preserve">TOM RDE 1K C.57/67 BQ6 C1 ESESPAGNE</t>
  </si>
  <si>
    <t xml:space="preserve">3111234</t>
  </si>
  <si>
    <t xml:space="preserve">CONFITUR ABRICO 1KG ANDROS</t>
  </si>
  <si>
    <t xml:space="preserve">EPICERIE SECHE</t>
  </si>
  <si>
    <t xml:space="preserve">2473767</t>
  </si>
  <si>
    <t xml:space="preserve">CONFITUR FRAISE 1KG ANDROS</t>
  </si>
  <si>
    <t xml:space="preserve">2614790</t>
  </si>
  <si>
    <t xml:space="preserve">MIEL FLEUR SQUEEZ 1KG RIOBA</t>
  </si>
  <si>
    <t xml:space="preserve">2475267</t>
  </si>
  <si>
    <t xml:space="preserve">MIEL FLEUR SQUEEZ 500G LDM</t>
  </si>
  <si>
    <t xml:space="preserve">2260008</t>
  </si>
  <si>
    <t xml:space="preserve">NUTELLA 1 KG</t>
  </si>
  <si>
    <t xml:space="preserve">2154516</t>
  </si>
  <si>
    <t xml:space="preserve">NUTELLA 3KG</t>
  </si>
  <si>
    <t xml:space="preserve">2694297</t>
  </si>
  <si>
    <t xml:space="preserve">PACK CASSONADE ST LOUIS 650G</t>
  </si>
  <si>
    <t xml:space="preserve">2471068</t>
  </si>
  <si>
    <t xml:space="preserve">ST LOUIS PDRE SACH. POLY 1KG</t>
  </si>
  <si>
    <t xml:space="preserve">2966919</t>
  </si>
  <si>
    <t xml:space="preserve">*OEUF 12 M/G SOL ROC</t>
  </si>
  <si>
    <t xml:space="preserve">3067667</t>
  </si>
  <si>
    <t xml:space="preserve">*OEUF 30 M SOL ARO</t>
  </si>
  <si>
    <t xml:space="preserve">0537373</t>
  </si>
  <si>
    <t xml:space="preserve">AEROSOL SUCREE 500ML MC</t>
  </si>
  <si>
    <t xml:space="preserve">0653501</t>
  </si>
  <si>
    <t xml:space="preserve">CHIPOLATAS HERBES 1,6KGENV SAT</t>
  </si>
  <si>
    <t xml:space="preserve">€/kg</t>
  </si>
  <si>
    <t xml:space="preserve">0574376</t>
  </si>
  <si>
    <t xml:space="preserve">CHIPOLATAS PORC 1,6KG ENV SAT</t>
  </si>
  <si>
    <t xml:space="preserve">1858885</t>
  </si>
  <si>
    <t xml:space="preserve">COCA COLA BTE SLIM 33CLX30 OS</t>
  </si>
  <si>
    <t xml:space="preserve">2363562</t>
  </si>
  <si>
    <t xml:space="preserve">EMMENTAL RAPE GR.BR 1KG PP</t>
  </si>
  <si>
    <t xml:space="preserve">0574426</t>
  </si>
  <si>
    <t xml:space="preserve">MERGUEZ BF/STD 1,6KG ENV SAT</t>
  </si>
  <si>
    <t xml:space="preserve">0055079</t>
  </si>
  <si>
    <t xml:space="preserve">PAIN MIE NATURE LC 1KG MC</t>
  </si>
  <si>
    <t xml:space="preserve">FROMAGE</t>
  </si>
  <si>
    <t xml:space="preserve">3088630</t>
  </si>
  <si>
    <t xml:space="preserve">PAIN SPECIAL CROQUE LC 1KG MC</t>
  </si>
  <si>
    <t xml:space="preserve">3051299</t>
  </si>
  <si>
    <t xml:space="preserve">MPRO 100 BTE PIZZA 29X29X3.5CM</t>
  </si>
  <si>
    <t xml:space="preserve">FRUITS ET LEGUMES</t>
  </si>
  <si>
    <t xml:space="preserve">2567972</t>
  </si>
  <si>
    <t xml:space="preserve">MPRO NETT MU CITRON BACT 750ML</t>
  </si>
  <si>
    <t xml:space="preserve">2256972</t>
  </si>
  <si>
    <t xml:space="preserve">MPRO SAC POUB INCORP 25X160L</t>
  </si>
  <si>
    <t xml:space="preserve">2256873</t>
  </si>
  <si>
    <t xml:space="preserve">MPRO SAC POUB INCORP 30X110L</t>
  </si>
  <si>
    <t xml:space="preserve">1878420</t>
  </si>
  <si>
    <t xml:space="preserve">OKAY ET BLANC X6RLX</t>
  </si>
  <si>
    <t xml:space="preserve">1588292</t>
  </si>
  <si>
    <t xml:space="preserve">ITALIAN BLC 10L VALFIORE11D T 1,000</t>
  </si>
  <si>
    <t xml:space="preserve">SPIRITUEUX</t>
  </si>
  <si>
    <t xml:space="preserve">2443018</t>
  </si>
  <si>
    <t xml:space="preserve">VCE RGE 11D 20L T 1,000</t>
  </si>
  <si>
    <t xml:space="preserve">2444123</t>
  </si>
  <si>
    <t xml:space="preserve">VDF GEVEOR BLC 12D 10L T 1,000</t>
  </si>
  <si>
    <t xml:space="preserve">0388405</t>
  </si>
  <si>
    <t xml:space="preserve">VDT SOLANA BLC 5LITRES ESP T 1,000</t>
  </si>
  <si>
    <t xml:space="preserve">1733989</t>
  </si>
  <si>
    <t xml:space="preserve">JB DINDE 16T 480G HALAL</t>
  </si>
  <si>
    <t xml:space="preserve">TRAITEUR</t>
  </si>
  <si>
    <t xml:space="preserve">0323758</t>
  </si>
  <si>
    <t xml:space="preserve">JB SEC ITALIEN 2X250G 10M MC</t>
  </si>
  <si>
    <t xml:space="preserve">2729937</t>
  </si>
  <si>
    <t xml:space="preserve">CREME CASSIS DELAITRE 15D 1L S 15,0 0,150 1,000</t>
  </si>
  <si>
    <t xml:space="preserve">2721579</t>
  </si>
  <si>
    <t xml:space="preserve">CREME PECHE DELAITRE 15D 1L S 15,0 0,150 1,000</t>
  </si>
  <si>
    <t xml:space="preserve">2025070</t>
  </si>
  <si>
    <t xml:space="preserve">CRISTALI 50CL PET</t>
  </si>
  <si>
    <t xml:space="preserve">3016342</t>
  </si>
  <si>
    <t xml:space="preserve">DR PEPPER BOITE SLIM 6X33CL</t>
  </si>
  <si>
    <t xml:space="preserve">2418473</t>
  </si>
  <si>
    <t xml:space="preserve">FARINE PATISS T55 PIGEON 5KG</t>
  </si>
  <si>
    <t xml:space="preserve">2418978</t>
  </si>
  <si>
    <t xml:space="preserve">LESIEUR HLE TOURNESOL 1L</t>
  </si>
  <si>
    <t xml:space="preserve">2953156</t>
  </si>
  <si>
    <t xml:space="preserve">MC PESTO GENOVESE 960G</t>
  </si>
  <si>
    <t xml:space="preserve">2372241</t>
  </si>
  <si>
    <t xml:space="preserve">MILKA TUBO NAPS MIX 1KG</t>
  </si>
  <si>
    <t xml:space="preserve">2768075</t>
  </si>
  <si>
    <t xml:space="preserve">MINUTE MAID POM BTE 33CLX24 OS</t>
  </si>
  <si>
    <t xml:space="preserve">0434266</t>
  </si>
  <si>
    <t xml:space="preserve">SIROP MONIN CHOC COOKI 70CL</t>
  </si>
  <si>
    <t xml:space="preserve">Articles dont le prix a varié entre les factures (hors promo)</t>
  </si>
  <si>
    <t xml:space="preserve">Articles présents sur ≥ 2 factures avec ≥ 2 prix distincts. Triés par variation absolue % décroissante. Prix normalisé par colis vendu.</t>
  </si>
  <si>
    <t xml:space="preserve">Nb factures</t>
  </si>
  <si>
    <t xml:space="preserve">Écart abs (€)</t>
  </si>
  <si>
    <t xml:space="preserve">Toutes les lignes des factures (détail complet)</t>
  </si>
  <si>
    <t xml:space="preserve">Prix unitaire facturé = valeur exacte imprimée sur la facture. Prix par colis = montant / quantité (normalisé pour comparaison).</t>
  </si>
  <si>
    <t xml:space="preserve">Date</t>
  </si>
  <si>
    <t xml:space="preserve">Mode prix</t>
  </si>
  <si>
    <t xml:space="preserve">Prix unit. facturé (€)</t>
  </si>
  <si>
    <t xml:space="preserve">Prix par colis (€)</t>
  </si>
  <si>
    <t xml:space="preserve">Colisage</t>
  </si>
  <si>
    <t xml:space="preserve">Poids (kg)</t>
  </si>
  <si>
    <t xml:space="preserve">Quantité</t>
  </si>
  <si>
    <t xml:space="preserve">Montant (€)</t>
  </si>
  <si>
    <t xml:space="preserve">Promo</t>
  </si>
  <si>
    <t xml:space="preserve">€/pièce</t>
  </si>
  <si>
    <t xml:space="preserve">Oui</t>
  </si>
  <si>
    <t xml:space="preserve">Historique détaillé : chaque achat de chaque article</t>
  </si>
  <si>
    <t xml:space="preserve">Trié par rayon puis par désignation. Permet de suivre l'évolution complète d'un article.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</si>
</sst>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&quot; €&quot;"/>
    <numFmt numFmtId="167" formatCode="\+#,##0.00&quot; €&quot;;\-#,##0.00&quot; €&quot;;\-"/>
    <numFmt numFmtId="168" formatCode="\+0.0%;\-0.0%;\-"/>
    <numFmt numFmtId="169" formatCode="0.000"/>
    <numFmt numFmtId="170" formatCode="\+0.000;\-0.00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3EDB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C9F"/>
          <bgColor rgb="FF000000"/>
        </patternFill>
      </fill>
    </dxf>
    <dxf>
      <fill>
        <patternFill patternType="solid">
          <fgColor rgb="FFFDE2A1"/>
          <bgColor rgb="FF000000"/>
        </patternFill>
      </fill>
    </dxf>
    <dxf>
      <fill>
        <patternFill patternType="solid">
          <fgColor rgb="FFFEE59F"/>
          <bgColor rgb="FF000000"/>
        </patternFill>
      </fill>
    </dxf>
    <dxf>
      <fill>
        <patternFill patternType="solid">
          <fgColor rgb="FFFFEA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7EEBF"/>
          <bgColor rgb="FF000000"/>
        </patternFill>
      </fill>
    </dxf>
    <dxf>
      <fill>
        <patternFill patternType="solid">
          <fgColor rgb="FFFDDFA2"/>
          <bgColor rgb="FF000000"/>
        </patternFill>
      </fill>
    </dxf>
    <dxf>
      <fill>
        <patternFill patternType="solid">
          <fgColor rgb="FFFDE1A1"/>
          <bgColor rgb="FF000000"/>
        </patternFill>
      </fill>
    </dxf>
    <dxf>
      <fill>
        <patternFill patternType="solid">
          <fgColor rgb="FFFEE2A0"/>
          <bgColor rgb="FF000000"/>
        </patternFill>
      </fill>
    </dxf>
    <dxf>
      <fill>
        <patternFill patternType="solid">
          <fgColor rgb="FFFEE69E"/>
          <bgColor rgb="FF000000"/>
        </patternFill>
      </fill>
    </dxf>
    <dxf>
      <fill>
        <patternFill patternType="solid">
          <fgColor rgb="FFFFE89D"/>
          <bgColor rgb="FF000000"/>
        </patternFill>
      </fill>
    </dxf>
    <dxf>
      <fill>
        <patternFill patternType="solid">
          <fgColor rgb="FFFCDDA3"/>
          <bgColor rgb="FF000000"/>
        </patternFill>
      </fill>
    </dxf>
    <dxf>
      <fill>
        <patternFill patternType="solid">
          <fgColor rgb="FFFDEC9E"/>
          <bgColor rgb="FF000000"/>
        </patternFill>
      </fill>
    </dxf>
    <dxf>
      <fill>
        <patternFill patternType="solid">
          <fgColor rgb="FFDCEEBB"/>
          <bgColor rgb="FF000000"/>
        </patternFill>
      </fill>
    </dxf>
    <dxf>
      <fill>
        <patternFill patternType="solid">
          <fgColor rgb="FFFCDEA3"/>
          <bgColor rgb="FF000000"/>
        </patternFill>
      </fill>
    </dxf>
    <dxf>
      <fill>
        <patternFill patternType="solid">
          <fgColor rgb="FFFDE0A2"/>
          <bgColor rgb="FF000000"/>
        </patternFill>
      </fill>
    </dxf>
    <dxf>
      <fill>
        <patternFill patternType="solid">
          <fgColor rgb="FFFFE99D"/>
          <bgColor rgb="FF000000"/>
        </patternFill>
      </fill>
    </dxf>
    <dxf>
      <fill>
        <patternFill patternType="solid">
          <fgColor rgb="FFFFEA9D"/>
          <bgColor rgb="FF000000"/>
        </patternFill>
      </fill>
    </dxf>
    <dxf>
      <fill>
        <patternFill patternType="solid">
          <fgColor rgb="FFFAD0AA"/>
          <bgColor rgb="FF000000"/>
        </patternFill>
      </fill>
    </dxf>
    <dxf>
      <fill>
        <patternFill patternType="solid">
          <fgColor rgb="FFFAD1AA"/>
          <bgColor rgb="FF000000"/>
        </patternFill>
      </fill>
    </dxf>
    <dxf>
      <fill>
        <patternFill patternType="solid">
          <fgColor rgb="FFFCDBA4"/>
          <bgColor rgb="FF000000"/>
        </patternFill>
      </fill>
    </dxf>
    <dxf>
      <fill>
        <patternFill patternType="solid">
          <fgColor rgb="FFFEE3A0"/>
          <bgColor rgb="FF000000"/>
        </patternFill>
      </fill>
    </dxf>
    <dxf>
      <fill>
        <patternFill patternType="solid">
          <fgColor rgb="FFFBD6A7"/>
          <bgColor rgb="FF000000"/>
        </patternFill>
      </fill>
    </dxf>
    <dxf>
      <fill>
        <patternFill patternType="solid">
          <fgColor rgb="FFFBD9A6"/>
          <bgColor rgb="FF000000"/>
        </patternFill>
      </fill>
    </dxf>
    <dxf>
      <fill>
        <patternFill patternType="solid">
          <fgColor rgb="FFFCDAA5"/>
          <bgColor rgb="FF000000"/>
        </patternFill>
      </fill>
    </dxf>
    <dxf>
      <fill>
        <patternFill patternType="solid">
          <fgColor rgb="FFFCDCA4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45967</v>
      </c>
      <c r="B5" s="5" t="s">
        <v>11</v>
      </c>
      <c r="C5" s="5" t="s">
        <v>12</v>
      </c>
      <c r="D5" s="0" t="n">
        <v>54</v>
      </c>
      <c r="E5" s="6" t="n">
        <v>1365.53</v>
      </c>
      <c r="F5" s="6" t="n">
        <v>98.8199999999999</v>
      </c>
      <c r="G5" s="6" t="n">
        <v>1464.35</v>
      </c>
    </row>
    <row r="6" customFormat="false" ht="15" hidden="false" customHeight="false" outlineLevel="0" collapsed="false">
      <c r="A6" s="4" t="n">
        <v>45979</v>
      </c>
      <c r="B6" s="5" t="s">
        <v>13</v>
      </c>
      <c r="C6" s="5" t="s">
        <v>14</v>
      </c>
      <c r="D6" s="0" t="n">
        <v>49</v>
      </c>
      <c r="E6" s="6" t="n">
        <v>940.28</v>
      </c>
      <c r="F6" s="6" t="n">
        <v>76</v>
      </c>
      <c r="G6" s="6" t="n">
        <v>1016.28</v>
      </c>
      <c r="H6" s="7" t="n">
        <v>-448.07</v>
      </c>
      <c r="I6" s="8" t="n">
        <v>-0.305985590876498</v>
      </c>
    </row>
    <row r="7" customFormat="false" ht="15" hidden="false" customHeight="false" outlineLevel="0" collapsed="false">
      <c r="A7" s="4" t="n">
        <v>45986</v>
      </c>
      <c r="B7" s="5" t="s">
        <v>15</v>
      </c>
      <c r="C7" s="5" t="s">
        <v>16</v>
      </c>
      <c r="D7" s="0" t="n">
        <v>13</v>
      </c>
      <c r="E7" s="6" t="n">
        <v>133.75</v>
      </c>
      <c r="F7" s="6" t="n">
        <v>26.25</v>
      </c>
      <c r="G7" s="6" t="n">
        <v>160</v>
      </c>
      <c r="H7" s="7" t="n">
        <v>-856.28</v>
      </c>
      <c r="I7" s="8" t="n">
        <v>-0.842563073168812</v>
      </c>
    </row>
    <row r="8" customFormat="false" ht="15" hidden="false" customHeight="false" outlineLevel="0" collapsed="false">
      <c r="A8" s="4" t="n">
        <v>45986</v>
      </c>
      <c r="B8" s="5" t="s">
        <v>17</v>
      </c>
      <c r="C8" s="5" t="s">
        <v>16</v>
      </c>
      <c r="D8" s="0" t="n">
        <v>2</v>
      </c>
      <c r="E8" s="6" t="n">
        <v>71.49</v>
      </c>
      <c r="F8" s="6" t="n">
        <v>3.93000000000001</v>
      </c>
      <c r="G8" s="6" t="n">
        <v>75.42</v>
      </c>
      <c r="H8" s="7" t="n">
        <v>-84.58</v>
      </c>
      <c r="I8" s="8" t="n">
        <v>-0.528625</v>
      </c>
    </row>
    <row r="9" customFormat="false" ht="15" hidden="false" customHeight="false" outlineLevel="0" collapsed="false">
      <c r="A9" s="4" t="n">
        <v>45995</v>
      </c>
      <c r="B9" s="5" t="s">
        <v>18</v>
      </c>
      <c r="C9" s="5" t="s">
        <v>14</v>
      </c>
      <c r="D9" s="0" t="n">
        <v>1</v>
      </c>
      <c r="E9" s="6" t="n">
        <v>23.93</v>
      </c>
      <c r="F9" s="6" t="n">
        <v>4.79</v>
      </c>
      <c r="G9" s="6" t="n">
        <v>28.72</v>
      </c>
      <c r="H9" s="7" t="n">
        <v>-46.7</v>
      </c>
      <c r="I9" s="8" t="n">
        <v>-0.619199151418722</v>
      </c>
    </row>
    <row r="10" customFormat="false" ht="15" hidden="false" customHeight="false" outlineLevel="0" collapsed="false">
      <c r="A10" s="4" t="n">
        <v>46000</v>
      </c>
      <c r="B10" s="5" t="s">
        <v>19</v>
      </c>
      <c r="C10" s="5" t="s">
        <v>16</v>
      </c>
      <c r="D10" s="0" t="n">
        <v>25</v>
      </c>
      <c r="E10" s="6" t="n">
        <v>658.59</v>
      </c>
      <c r="F10" s="6" t="n">
        <v>50.37</v>
      </c>
      <c r="G10" s="6" t="n">
        <v>708.96</v>
      </c>
      <c r="H10" s="7" t="n">
        <v>680.24</v>
      </c>
      <c r="I10" s="8" t="n">
        <v>23.6852367688022</v>
      </c>
    </row>
    <row r="11" customFormat="false" ht="15" hidden="false" customHeight="false" outlineLevel="0" collapsed="false">
      <c r="A11" s="4" t="n">
        <v>46002</v>
      </c>
      <c r="B11" s="5" t="s">
        <v>20</v>
      </c>
      <c r="C11" s="5" t="s">
        <v>12</v>
      </c>
      <c r="D11" s="0" t="n">
        <v>27</v>
      </c>
      <c r="E11" s="6" t="n">
        <v>517.66</v>
      </c>
      <c r="F11" s="6" t="n">
        <v>49.23</v>
      </c>
      <c r="G11" s="6" t="n">
        <v>566.89</v>
      </c>
      <c r="H11" s="7" t="n">
        <v>-142.07</v>
      </c>
      <c r="I11" s="8" t="n">
        <v>-0.200392123674114</v>
      </c>
    </row>
    <row r="12" customFormat="false" ht="15" hidden="false" customHeight="false" outlineLevel="0" collapsed="false">
      <c r="A12" s="4" t="n">
        <v>46007</v>
      </c>
      <c r="B12" s="5" t="s">
        <v>21</v>
      </c>
      <c r="C12" s="5" t="s">
        <v>14</v>
      </c>
      <c r="D12" s="0" t="n">
        <v>18</v>
      </c>
      <c r="E12" s="6" t="n">
        <v>187.44</v>
      </c>
      <c r="F12" s="6" t="n">
        <v>11.08</v>
      </c>
      <c r="G12" s="6" t="n">
        <v>198.52</v>
      </c>
      <c r="H12" s="7" t="n">
        <v>-368.37</v>
      </c>
      <c r="I12" s="8" t="n">
        <v>-0.649808604843973</v>
      </c>
    </row>
    <row r="13" customFormat="false" ht="15" hidden="false" customHeight="false" outlineLevel="0" collapsed="false">
      <c r="A13" s="4" t="n">
        <v>46007</v>
      </c>
      <c r="B13" s="5" t="s">
        <v>22</v>
      </c>
      <c r="C13" s="5" t="s">
        <v>16</v>
      </c>
      <c r="D13" s="0" t="n">
        <v>33</v>
      </c>
      <c r="E13" s="6" t="n">
        <v>1190.69</v>
      </c>
      <c r="F13" s="6" t="n">
        <v>101.48</v>
      </c>
      <c r="G13" s="6" t="n">
        <v>1292.17</v>
      </c>
      <c r="H13" s="7" t="n">
        <v>1093.65</v>
      </c>
      <c r="I13" s="8" t="n">
        <v>5.50901672375579</v>
      </c>
    </row>
    <row r="14" customFormat="false" ht="15" hidden="false" customHeight="false" outlineLevel="0" collapsed="false">
      <c r="A14" s="4" t="n">
        <v>46037</v>
      </c>
      <c r="B14" s="5" t="s">
        <v>23</v>
      </c>
      <c r="C14" s="5" t="s">
        <v>12</v>
      </c>
      <c r="D14" s="0" t="n">
        <v>11</v>
      </c>
      <c r="E14" s="6" t="n">
        <v>386.14</v>
      </c>
      <c r="F14" s="6" t="n">
        <v>21.24</v>
      </c>
      <c r="G14" s="6" t="n">
        <v>407.38</v>
      </c>
      <c r="H14" s="7" t="n">
        <v>-884.79</v>
      </c>
      <c r="I14" s="8" t="n">
        <v>-0.684731885123475</v>
      </c>
    </row>
    <row r="15" customFormat="false" ht="15" hidden="false" customHeight="false" outlineLevel="0" collapsed="false">
      <c r="A15" s="4" t="n">
        <v>46038</v>
      </c>
      <c r="B15" s="5" t="s">
        <v>24</v>
      </c>
      <c r="C15" s="5" t="s">
        <v>12</v>
      </c>
      <c r="D15" s="0" t="n">
        <v>5</v>
      </c>
      <c r="E15" s="6" t="n">
        <v>95.45</v>
      </c>
      <c r="F15" s="6" t="n">
        <v>11.77</v>
      </c>
      <c r="G15" s="6" t="n">
        <v>107.22</v>
      </c>
      <c r="H15" s="7" t="n">
        <v>-300.16</v>
      </c>
      <c r="I15" s="8" t="n">
        <v>-0.736805930580785</v>
      </c>
    </row>
    <row r="16" customFormat="false" ht="15" hidden="false" customHeight="false" outlineLevel="0" collapsed="false">
      <c r="A16" s="4" t="n">
        <v>46076</v>
      </c>
      <c r="B16" s="5" t="s">
        <v>25</v>
      </c>
      <c r="C16" s="5" t="s">
        <v>14</v>
      </c>
      <c r="D16" s="0" t="n">
        <v>1</v>
      </c>
      <c r="E16" s="6" t="n">
        <v>15.19</v>
      </c>
      <c r="F16" s="6" t="n">
        <v>3.04</v>
      </c>
      <c r="G16" s="6" t="n">
        <v>18.23</v>
      </c>
      <c r="H16" s="7" t="n">
        <v>-88.99</v>
      </c>
      <c r="I16" s="8" t="n">
        <v>-0.829975750792763</v>
      </c>
    </row>
    <row r="17" customFormat="false" ht="15" hidden="false" customHeight="false" outlineLevel="0" collapsed="false">
      <c r="A17" s="4" t="n">
        <v>46083</v>
      </c>
      <c r="B17" s="5" t="s">
        <v>26</v>
      </c>
      <c r="C17" s="5" t="s">
        <v>12</v>
      </c>
      <c r="D17" s="0" t="n">
        <v>43</v>
      </c>
      <c r="E17" s="6" t="n">
        <v>1398.96</v>
      </c>
      <c r="F17" s="6" t="n">
        <v>110.02</v>
      </c>
      <c r="G17" s="6" t="n">
        <v>1508.98</v>
      </c>
      <c r="H17" s="7" t="n">
        <v>1490.75</v>
      </c>
      <c r="I17" s="8" t="n">
        <v>81.7745474492595</v>
      </c>
    </row>
    <row r="18" customFormat="false" ht="15" hidden="false" customHeight="false" outlineLevel="0" collapsed="false">
      <c r="A18" s="4" t="n">
        <v>46097</v>
      </c>
      <c r="B18" s="5" t="s">
        <v>27</v>
      </c>
      <c r="C18" s="5" t="s">
        <v>14</v>
      </c>
      <c r="D18" s="0" t="n">
        <v>42</v>
      </c>
      <c r="E18" s="6" t="n">
        <v>1273.58</v>
      </c>
      <c r="F18" s="6" t="n">
        <v>86.5800000000002</v>
      </c>
      <c r="G18" s="6" t="n">
        <v>1360.16</v>
      </c>
      <c r="H18" s="7" t="n">
        <v>-148.82</v>
      </c>
      <c r="I18" s="8" t="n">
        <v>-0.0986229108404352</v>
      </c>
    </row>
    <row r="19" customFormat="false" ht="15" hidden="false" customHeight="false" outlineLevel="0" collapsed="false">
      <c r="A19" s="4" t="n">
        <v>46105</v>
      </c>
      <c r="B19" s="5" t="s">
        <v>28</v>
      </c>
      <c r="C19" s="5" t="s">
        <v>29</v>
      </c>
      <c r="D19" s="0" t="n">
        <v>11</v>
      </c>
      <c r="E19" s="6" t="n">
        <v>405.02</v>
      </c>
      <c r="F19" s="6" t="n">
        <v>28.19</v>
      </c>
      <c r="G19" s="6" t="n">
        <v>433.21</v>
      </c>
      <c r="H19" s="7" t="n">
        <v>-926.95</v>
      </c>
      <c r="I19" s="8" t="n">
        <v>-0.681500705799318</v>
      </c>
    </row>
    <row r="20" customFormat="false" ht="15" hidden="false" customHeight="false" outlineLevel="0" collapsed="false">
      <c r="A20" s="4" t="n">
        <v>46120</v>
      </c>
      <c r="B20" s="5" t="s">
        <v>30</v>
      </c>
      <c r="C20" s="5" t="s">
        <v>12</v>
      </c>
      <c r="D20" s="0" t="n">
        <v>9</v>
      </c>
      <c r="E20" s="6" t="n">
        <v>112.68</v>
      </c>
      <c r="F20" s="6" t="n">
        <v>7.72999999999999</v>
      </c>
      <c r="G20" s="6" t="n">
        <v>120.41</v>
      </c>
      <c r="H20" s="7" t="n">
        <v>-312.8</v>
      </c>
      <c r="I20" s="8" t="n">
        <v>-0.722051660857321</v>
      </c>
    </row>
    <row r="21" customFormat="false" ht="15" hidden="false" customHeight="false" outlineLevel="0" collapsed="false">
      <c r="A21" s="4" t="n">
        <v>46125</v>
      </c>
      <c r="B21" s="5" t="s">
        <v>31</v>
      </c>
      <c r="C21" s="5" t="s">
        <v>29</v>
      </c>
      <c r="D21" s="0" t="n">
        <v>36</v>
      </c>
      <c r="E21" s="6" t="n">
        <v>2451.35</v>
      </c>
      <c r="F21" s="6" t="n">
        <v>169.44</v>
      </c>
      <c r="G21" s="6" t="n">
        <v>2620.79</v>
      </c>
      <c r="H21" s="7" t="n">
        <v>2500.38</v>
      </c>
      <c r="I21" s="8" t="n">
        <v>20.7655510339673</v>
      </c>
    </row>
    <row r="22" customFormat="false" ht="15" hidden="false" customHeight="false" outlineLevel="0" collapsed="false">
      <c r="A22" s="4" t="n">
        <v>46147</v>
      </c>
      <c r="B22" s="5" t="s">
        <v>32</v>
      </c>
      <c r="C22" s="5" t="s">
        <v>29</v>
      </c>
      <c r="D22" s="0" t="n">
        <v>32</v>
      </c>
      <c r="E22" s="6" t="n">
        <v>1475.31</v>
      </c>
      <c r="F22" s="6" t="n">
        <v>114.9</v>
      </c>
      <c r="G22" s="6" t="n">
        <v>1590.21</v>
      </c>
      <c r="H22" s="7" t="n">
        <v>-1030.58</v>
      </c>
      <c r="I22" s="8" t="n">
        <v>-0.393232574910619</v>
      </c>
    </row>
    <row r="23" customFormat="false" ht="15" hidden="false" customHeight="false" outlineLevel="0" collapsed="false">
      <c r="A23" s="9" t="s">
        <v>33</v>
      </c>
      <c r="B23" s="10"/>
      <c r="C23" s="10"/>
      <c r="D23" s="9" t="n">
        <f aca="false">SUM(D5:D22)</f>
        <v>412</v>
      </c>
      <c r="E23" s="11" t="n">
        <f aca="false">SUM(E5:E22)</f>
        <v>12703.04</v>
      </c>
      <c r="F23" s="11" t="n">
        <f aca="false">SUM(F5:F22)</f>
        <v>974.86</v>
      </c>
      <c r="G23" s="11" t="n">
        <f aca="false">SUM(G5:G22)</f>
        <v>13677.9</v>
      </c>
      <c r="H23" s="10"/>
      <c r="I23" s="10"/>
    </row>
    <row r="25" customFormat="false" ht="15" hidden="false" customHeight="false" outlineLevel="0" collapsed="false">
      <c r="A25" s="12" t="s">
        <v>34</v>
      </c>
    </row>
    <row r="26" customFormat="false" ht="15" hidden="false" customHeight="false" outlineLevel="0" collapsed="false">
      <c r="A26" s="13" t="s">
        <v>35</v>
      </c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 t="s">
        <v>36</v>
      </c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 t="s">
        <v>37</v>
      </c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 t="s">
        <v>38</v>
      </c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 t="s">
        <v>39</v>
      </c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 t="s">
        <v>40</v>
      </c>
      <c r="B31" s="13"/>
      <c r="C31" s="13"/>
      <c r="D31" s="13"/>
      <c r="E31" s="13"/>
      <c r="F31" s="13"/>
      <c r="G31" s="13"/>
      <c r="H31" s="13"/>
      <c r="I31" s="13"/>
    </row>
  </sheetData>
  <autoFilter ref="A4:I23"/>
  <mergeCells count="8">
    <mergeCell ref="A1:I1"/>
    <mergeCell ref="A2:I2"/>
    <mergeCell ref="A26:I26"/>
    <mergeCell ref="A27:I27"/>
    <mergeCell ref="A28:I28"/>
    <mergeCell ref="A29:I29"/>
    <mergeCell ref="A30:I30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31" min="6" style="0" width="12"/>
  </cols>
  <sheetData>
    <row r="1" customFormat="false" ht="19.7" hidden="false" customHeight="false" outlineLevel="0" collapsed="false">
      <c r="A1" s="1" t="s">
        <v>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42</v>
      </c>
      <c r="B2" s="2"/>
      <c r="C2" s="2"/>
      <c r="D2" s="2"/>
      <c r="E2" s="2"/>
      <c r="F2" s="2"/>
    </row>
    <row r="4" customFormat="false" ht="48" hidden="false" customHeight="tru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63</v>
      </c>
      <c r="V4" s="3" t="s">
        <v>64</v>
      </c>
      <c r="W4" s="3" t="s">
        <v>65</v>
      </c>
      <c r="X4" s="3" t="s">
        <v>66</v>
      </c>
      <c r="Y4" s="3" t="s">
        <v>67</v>
      </c>
      <c r="Z4" s="3" t="s">
        <v>68</v>
      </c>
      <c r="AA4" s="3" t="s">
        <v>69</v>
      </c>
      <c r="AB4" s="3" t="s">
        <v>70</v>
      </c>
      <c r="AC4" s="3" t="s">
        <v>71</v>
      </c>
      <c r="AD4" s="3" t="s">
        <v>72</v>
      </c>
      <c r="AE4" s="3" t="s">
        <v>73</v>
      </c>
    </row>
    <row r="5" customFormat="false" ht="15" hidden="false" customHeight="false" outlineLevel="0" collapsed="false">
      <c r="A5" s="0" t="s">
        <v>74</v>
      </c>
      <c r="B5" s="0" t="s">
        <v>75</v>
      </c>
      <c r="C5" s="0" t="s">
        <v>76</v>
      </c>
      <c r="D5" s="0" t="s">
        <v>77</v>
      </c>
      <c r="E5" s="0" t="s">
        <v>78</v>
      </c>
      <c r="F5" s="14" t="n">
        <f aca="false">MIN(N5:AE5)</f>
        <v>21.49</v>
      </c>
      <c r="G5" s="14" t="n">
        <f aca="false">MAX(N5:AE5)</f>
        <v>26.8</v>
      </c>
      <c r="H5" s="15" t="n">
        <f aca="false">G5-F5</f>
        <v>5.31</v>
      </c>
      <c r="I5" s="8" t="n">
        <f aca="false">IFERROR((G5-F5)/F5,0)</f>
        <v>0.247091670544439</v>
      </c>
      <c r="J5" s="0" t="n">
        <v>6</v>
      </c>
      <c r="K5" s="0" t="n">
        <v>7</v>
      </c>
      <c r="L5" s="14" t="n">
        <v>21.92</v>
      </c>
      <c r="M5" s="14" t="n">
        <v>26.8</v>
      </c>
      <c r="N5" s="14" t="n">
        <v>21.92</v>
      </c>
      <c r="O5" s="14" t="n">
        <v>21.92</v>
      </c>
      <c r="Z5" s="16" t="n">
        <v>21.49</v>
      </c>
      <c r="AA5" s="14" t="n">
        <v>23.92</v>
      </c>
      <c r="AB5" s="14" t="n">
        <v>23.93</v>
      </c>
      <c r="AD5" s="14" t="n">
        <v>26.8</v>
      </c>
      <c r="AE5" s="16" t="n">
        <v>22.33</v>
      </c>
    </row>
    <row r="6" customFormat="false" ht="15" hidden="false" customHeight="false" outlineLevel="0" collapsed="false">
      <c r="A6" s="17" t="s">
        <v>79</v>
      </c>
      <c r="B6" s="17" t="s">
        <v>80</v>
      </c>
      <c r="C6" s="17" t="s">
        <v>81</v>
      </c>
      <c r="D6" s="17" t="s">
        <v>77</v>
      </c>
      <c r="E6" s="17" t="s">
        <v>78</v>
      </c>
      <c r="F6" s="18" t="n">
        <f aca="false">MIN(N6:AE6)</f>
        <v>11.5</v>
      </c>
      <c r="G6" s="18" t="n">
        <f aca="false">MAX(N6:AE6)</f>
        <v>19.47</v>
      </c>
      <c r="H6" s="19" t="n">
        <f aca="false">G6-F6</f>
        <v>7.97</v>
      </c>
      <c r="I6" s="20" t="n">
        <f aca="false">IFERROR((G6-F6)/F6,0)</f>
        <v>0.693043478260869</v>
      </c>
      <c r="J6" s="17" t="n">
        <v>6</v>
      </c>
      <c r="K6" s="17" t="n">
        <v>8</v>
      </c>
      <c r="L6" s="18" t="n">
        <v>12.75</v>
      </c>
      <c r="M6" s="18" t="n">
        <v>18.46</v>
      </c>
      <c r="N6" s="16" t="n">
        <v>11.5</v>
      </c>
      <c r="S6" s="14" t="n">
        <v>12.75</v>
      </c>
      <c r="V6" s="14" t="n">
        <v>12.75</v>
      </c>
      <c r="Z6" s="14" t="n">
        <v>12.72</v>
      </c>
      <c r="AA6" s="14" t="n">
        <v>12.72</v>
      </c>
      <c r="AB6" s="14" t="n">
        <v>13.42</v>
      </c>
      <c r="AD6" s="14" t="n">
        <v>19.47</v>
      </c>
      <c r="AE6" s="14" t="n">
        <v>18.46</v>
      </c>
    </row>
    <row r="7" customFormat="false" ht="15" hidden="false" customHeight="false" outlineLevel="0" collapsed="false">
      <c r="A7" s="0" t="s">
        <v>82</v>
      </c>
      <c r="B7" s="0" t="s">
        <v>83</v>
      </c>
      <c r="C7" s="0" t="s">
        <v>76</v>
      </c>
      <c r="D7" s="0" t="s">
        <v>77</v>
      </c>
      <c r="E7" s="0" t="s">
        <v>78</v>
      </c>
      <c r="F7" s="14" t="n">
        <f aca="false">MIN(N7:AE7)</f>
        <v>18.27</v>
      </c>
      <c r="G7" s="14" t="n">
        <f aca="false">MAX(N7:AE7)</f>
        <v>26.78</v>
      </c>
      <c r="H7" s="15" t="n">
        <f aca="false">G7-F7</f>
        <v>8.51</v>
      </c>
      <c r="I7" s="8" t="n">
        <f aca="false">IFERROR((G7-F7)/F7,0)</f>
        <v>0.465790914066776</v>
      </c>
      <c r="J7" s="0" t="n">
        <v>5</v>
      </c>
      <c r="K7" s="0" t="n">
        <v>6</v>
      </c>
      <c r="L7" s="14" t="n">
        <v>21.92</v>
      </c>
      <c r="M7" s="14" t="n">
        <v>26.78</v>
      </c>
      <c r="N7" s="14" t="n">
        <v>21.92</v>
      </c>
      <c r="O7" s="14" t="n">
        <v>21.92</v>
      </c>
      <c r="V7" s="16" t="n">
        <v>18.27</v>
      </c>
      <c r="AA7" s="14" t="n">
        <v>24.15</v>
      </c>
      <c r="AD7" s="14" t="n">
        <v>26.78</v>
      </c>
      <c r="AE7" s="16" t="n">
        <v>22.31</v>
      </c>
    </row>
    <row r="8" customFormat="false" ht="15" hidden="false" customHeight="false" outlineLevel="0" collapsed="false">
      <c r="A8" s="17" t="s">
        <v>84</v>
      </c>
      <c r="B8" s="17" t="s">
        <v>85</v>
      </c>
      <c r="C8" s="17" t="s">
        <v>81</v>
      </c>
      <c r="D8" s="17" t="s">
        <v>77</v>
      </c>
      <c r="E8" s="17" t="s">
        <v>78</v>
      </c>
      <c r="F8" s="18" t="n">
        <f aca="false">MIN(N8:AE8)</f>
        <v>14.03</v>
      </c>
      <c r="G8" s="18" t="n">
        <f aca="false">MAX(N8:AE8)</f>
        <v>22.03</v>
      </c>
      <c r="H8" s="19" t="n">
        <f aca="false">G8-F8</f>
        <v>8</v>
      </c>
      <c r="I8" s="20" t="n">
        <f aca="false">IFERROR((G8-F8)/F8,0)</f>
        <v>0.570206699928724</v>
      </c>
      <c r="J8" s="17" t="n">
        <v>5</v>
      </c>
      <c r="K8" s="17" t="n">
        <v>9</v>
      </c>
      <c r="L8" s="18" t="n">
        <v>16.83</v>
      </c>
      <c r="M8" s="18" t="n">
        <v>22.03</v>
      </c>
      <c r="N8" s="16" t="n">
        <v>14.03</v>
      </c>
      <c r="O8" s="16" t="n">
        <v>14.03</v>
      </c>
      <c r="S8" s="14" t="n">
        <v>16.83</v>
      </c>
      <c r="V8" s="14" t="n">
        <v>16.83</v>
      </c>
      <c r="AA8" s="16" t="n">
        <v>14.71</v>
      </c>
      <c r="AB8" s="16" t="n">
        <v>14.71</v>
      </c>
      <c r="AD8" s="14" t="n">
        <v>22.03</v>
      </c>
      <c r="AE8" s="16" t="n">
        <v>18.78</v>
      </c>
    </row>
    <row r="9" customFormat="false" ht="15" hidden="false" customHeight="false" outlineLevel="0" collapsed="false">
      <c r="A9" s="0" t="s">
        <v>86</v>
      </c>
      <c r="B9" s="0" t="s">
        <v>87</v>
      </c>
      <c r="C9" s="0" t="s">
        <v>81</v>
      </c>
      <c r="D9" s="0" t="s">
        <v>77</v>
      </c>
      <c r="E9" s="0" t="s">
        <v>78</v>
      </c>
      <c r="F9" s="14" t="n">
        <f aca="false">MIN(N9:AE9)</f>
        <v>14.03</v>
      </c>
      <c r="G9" s="14" t="n">
        <f aca="false">MAX(N9:AE9)</f>
        <v>22.12</v>
      </c>
      <c r="H9" s="15" t="n">
        <f aca="false">G9-F9</f>
        <v>8.09</v>
      </c>
      <c r="I9" s="8" t="n">
        <f aca="false">IFERROR((G9-F9)/F9,0)</f>
        <v>0.576621525302922</v>
      </c>
      <c r="J9" s="0" t="n">
        <v>5</v>
      </c>
      <c r="K9" s="0" t="n">
        <v>9</v>
      </c>
      <c r="L9" s="14" t="n">
        <v>16.83</v>
      </c>
      <c r="M9" s="14" t="n">
        <v>22.12</v>
      </c>
      <c r="N9" s="16" t="n">
        <v>14.03</v>
      </c>
      <c r="O9" s="16" t="n">
        <v>14.03</v>
      </c>
      <c r="S9" s="14" t="n">
        <v>16.83</v>
      </c>
      <c r="V9" s="14" t="n">
        <v>16.83</v>
      </c>
      <c r="Z9" s="16" t="n">
        <v>14.73</v>
      </c>
      <c r="AA9" s="16" t="n">
        <v>14.73</v>
      </c>
      <c r="AB9" s="16" t="n">
        <v>14.73</v>
      </c>
      <c r="AD9" s="14" t="n">
        <v>22.12</v>
      </c>
      <c r="AE9" s="16" t="n">
        <v>18.43</v>
      </c>
    </row>
    <row r="10" customFormat="false" ht="15" hidden="false" customHeight="false" outlineLevel="0" collapsed="false">
      <c r="A10" s="17" t="s">
        <v>88</v>
      </c>
      <c r="B10" s="17" t="s">
        <v>89</v>
      </c>
      <c r="C10" s="17" t="s">
        <v>81</v>
      </c>
      <c r="D10" s="17" t="s">
        <v>77</v>
      </c>
      <c r="E10" s="17" t="s">
        <v>78</v>
      </c>
      <c r="F10" s="18" t="n">
        <f aca="false">MIN(N10:AE10)</f>
        <v>12.75</v>
      </c>
      <c r="G10" s="18" t="n">
        <f aca="false">MAX(N10:AE10)</f>
        <v>19.32</v>
      </c>
      <c r="H10" s="19" t="n">
        <f aca="false">G10-F10</f>
        <v>6.57</v>
      </c>
      <c r="I10" s="20" t="n">
        <f aca="false">IFERROR((G10-F10)/F10,0)</f>
        <v>0.515294117647059</v>
      </c>
      <c r="J10" s="17" t="n">
        <v>5</v>
      </c>
      <c r="K10" s="17" t="n">
        <v>13</v>
      </c>
      <c r="L10" s="18" t="n">
        <v>15.3</v>
      </c>
      <c r="M10" s="18" t="n">
        <v>19.32</v>
      </c>
      <c r="N10" s="16" t="n">
        <v>12.75</v>
      </c>
      <c r="O10" s="16" t="n">
        <v>12.75</v>
      </c>
      <c r="Q10" s="16" t="n">
        <v>12.75</v>
      </c>
      <c r="S10" s="14" t="n">
        <v>15.3</v>
      </c>
      <c r="V10" s="14" t="n">
        <v>15.3</v>
      </c>
      <c r="Z10" s="16" t="n">
        <v>12.88</v>
      </c>
      <c r="AA10" s="16" t="n">
        <v>12.88</v>
      </c>
      <c r="AB10" s="16" t="n">
        <v>12.88</v>
      </c>
      <c r="AD10" s="14" t="n">
        <v>19.32</v>
      </c>
      <c r="AE10" s="16" t="n">
        <v>16.11</v>
      </c>
    </row>
    <row r="11" customFormat="false" ht="15" hidden="false" customHeight="false" outlineLevel="0" collapsed="false">
      <c r="A11" s="0" t="s">
        <v>90</v>
      </c>
      <c r="B11" s="0" t="s">
        <v>91</v>
      </c>
      <c r="C11" s="0" t="s">
        <v>81</v>
      </c>
      <c r="D11" s="0" t="s">
        <v>77</v>
      </c>
      <c r="E11" s="0" t="s">
        <v>78</v>
      </c>
      <c r="F11" s="14" t="n">
        <f aca="false">MIN(N11:AE11)</f>
        <v>12.22</v>
      </c>
      <c r="G11" s="14" t="n">
        <f aca="false">MAX(N11:AE11)</f>
        <v>19.58</v>
      </c>
      <c r="H11" s="15" t="n">
        <f aca="false">G11-F11</f>
        <v>7.36</v>
      </c>
      <c r="I11" s="8" t="n">
        <f aca="false">IFERROR((G11-F11)/F11,0)</f>
        <v>0.602291325695581</v>
      </c>
      <c r="J11" s="0" t="n">
        <v>5</v>
      </c>
      <c r="K11" s="0" t="n">
        <v>7</v>
      </c>
      <c r="L11" s="14" t="n">
        <v>14.67</v>
      </c>
      <c r="M11" s="14" t="n">
        <v>19.58</v>
      </c>
      <c r="N11" s="16" t="n">
        <v>12.22</v>
      </c>
      <c r="O11" s="16" t="n">
        <v>12.22</v>
      </c>
      <c r="S11" s="14" t="n">
        <v>14.67</v>
      </c>
      <c r="Z11" s="16" t="n">
        <v>12.42</v>
      </c>
      <c r="AA11" s="16" t="n">
        <v>12.42</v>
      </c>
      <c r="AD11" s="14" t="n">
        <v>19.58</v>
      </c>
      <c r="AE11" s="16" t="n">
        <v>16.31</v>
      </c>
    </row>
    <row r="12" customFormat="false" ht="15" hidden="false" customHeight="false" outlineLevel="0" collapsed="false">
      <c r="A12" s="17" t="s">
        <v>92</v>
      </c>
      <c r="B12" s="17" t="s">
        <v>93</v>
      </c>
      <c r="C12" s="17" t="s">
        <v>76</v>
      </c>
      <c r="D12" s="17" t="s">
        <v>77</v>
      </c>
      <c r="E12" s="17" t="s">
        <v>78</v>
      </c>
      <c r="F12" s="18" t="n">
        <f aca="false">MIN(N12:AE12)</f>
        <v>11.76</v>
      </c>
      <c r="G12" s="18" t="n">
        <f aca="false">MAX(N12:AE12)</f>
        <v>16.51</v>
      </c>
      <c r="H12" s="19" t="n">
        <f aca="false">G12-F12</f>
        <v>4.75</v>
      </c>
      <c r="I12" s="20" t="n">
        <f aca="false">IFERROR((G12-F12)/F12,0)</f>
        <v>0.403911564625851</v>
      </c>
      <c r="J12" s="17" t="n">
        <v>4</v>
      </c>
      <c r="K12" s="17" t="n">
        <v>5</v>
      </c>
      <c r="L12" s="18" t="n">
        <v>14.17</v>
      </c>
      <c r="M12" s="18" t="n">
        <v>16.51</v>
      </c>
      <c r="N12" s="14" t="n">
        <v>14.17</v>
      </c>
      <c r="O12" s="16" t="n">
        <v>11.76</v>
      </c>
      <c r="Z12" s="14" t="n">
        <v>14.17</v>
      </c>
      <c r="AA12" s="14" t="n">
        <v>14.31</v>
      </c>
      <c r="AD12" s="14" t="n">
        <v>16.51</v>
      </c>
    </row>
    <row r="13" customFormat="false" ht="15" hidden="false" customHeight="false" outlineLevel="0" collapsed="false">
      <c r="A13" s="0" t="s">
        <v>94</v>
      </c>
      <c r="B13" s="0" t="s">
        <v>95</v>
      </c>
      <c r="C13" s="0" t="s">
        <v>76</v>
      </c>
      <c r="D13" s="0" t="s">
        <v>77</v>
      </c>
      <c r="E13" s="0" t="s">
        <v>78</v>
      </c>
      <c r="F13" s="14" t="n">
        <f aca="false">MIN(N13:AE13)</f>
        <v>15.72</v>
      </c>
      <c r="G13" s="14" t="n">
        <f aca="false">MAX(N13:AE13)</f>
        <v>21.54</v>
      </c>
      <c r="H13" s="15" t="n">
        <f aca="false">G13-F13</f>
        <v>5.82</v>
      </c>
      <c r="I13" s="8" t="n">
        <f aca="false">IFERROR((G13-F13)/F13,0)</f>
        <v>0.370229007633588</v>
      </c>
      <c r="J13" s="0" t="n">
        <v>4</v>
      </c>
      <c r="K13" s="0" t="n">
        <v>6</v>
      </c>
      <c r="L13" s="14" t="n">
        <v>18.89</v>
      </c>
      <c r="M13" s="14" t="n">
        <v>21.54</v>
      </c>
      <c r="N13" s="16" t="n">
        <v>15.72</v>
      </c>
      <c r="O13" s="16" t="n">
        <v>15.72</v>
      </c>
      <c r="V13" s="14" t="n">
        <v>18.89</v>
      </c>
      <c r="Z13" s="14" t="n">
        <v>18.89</v>
      </c>
      <c r="AA13" s="14" t="n">
        <v>19.08</v>
      </c>
      <c r="AD13" s="14" t="n">
        <v>21.54</v>
      </c>
    </row>
    <row r="14" customFormat="false" ht="15" hidden="false" customHeight="false" outlineLevel="0" collapsed="false">
      <c r="A14" s="17" t="s">
        <v>96</v>
      </c>
      <c r="B14" s="17" t="s">
        <v>97</v>
      </c>
      <c r="C14" s="17" t="s">
        <v>98</v>
      </c>
      <c r="D14" s="17" t="s">
        <v>77</v>
      </c>
      <c r="E14" s="17" t="s">
        <v>78</v>
      </c>
      <c r="F14" s="18" t="n">
        <f aca="false">MIN(N14:AE14)</f>
        <v>14.83</v>
      </c>
      <c r="G14" s="18" t="n">
        <f aca="false">MAX(N14:AE14)</f>
        <v>20.28</v>
      </c>
      <c r="H14" s="19" t="n">
        <f aca="false">G14-F14</f>
        <v>5.45</v>
      </c>
      <c r="I14" s="20" t="n">
        <f aca="false">IFERROR((G14-F14)/F14,0)</f>
        <v>0.367498314227916</v>
      </c>
      <c r="J14" s="17" t="n">
        <v>4</v>
      </c>
      <c r="K14" s="17" t="n">
        <v>6</v>
      </c>
      <c r="L14" s="18" t="n">
        <v>17.79</v>
      </c>
      <c r="M14" s="18" t="n">
        <v>20.28</v>
      </c>
      <c r="N14" s="16" t="n">
        <v>14.83</v>
      </c>
      <c r="O14" s="16" t="n">
        <v>14.83</v>
      </c>
      <c r="V14" s="14" t="n">
        <v>17.79</v>
      </c>
      <c r="Z14" s="14" t="n">
        <v>17.79</v>
      </c>
      <c r="AA14" s="14" t="n">
        <v>17.96</v>
      </c>
      <c r="AE14" s="14" t="n">
        <v>20.28</v>
      </c>
    </row>
    <row r="15" customFormat="false" ht="15" hidden="false" customHeight="false" outlineLevel="0" collapsed="false">
      <c r="A15" s="0" t="s">
        <v>99</v>
      </c>
      <c r="B15" s="0" t="s">
        <v>100</v>
      </c>
      <c r="C15" s="0" t="s">
        <v>81</v>
      </c>
      <c r="D15" s="0" t="s">
        <v>77</v>
      </c>
      <c r="E15" s="0" t="s">
        <v>78</v>
      </c>
      <c r="F15" s="14" t="n">
        <f aca="false">MIN(N15:AE15)</f>
        <v>11.75</v>
      </c>
      <c r="G15" s="14" t="n">
        <f aca="false">MAX(N15:AE15)</f>
        <v>17.24</v>
      </c>
      <c r="H15" s="15" t="n">
        <f aca="false">G15-F15</f>
        <v>5.49</v>
      </c>
      <c r="I15" s="8" t="n">
        <f aca="false">IFERROR((G15-F15)/F15,0)</f>
        <v>0.467234042553191</v>
      </c>
      <c r="J15" s="0" t="n">
        <v>4</v>
      </c>
      <c r="K15" s="0" t="n">
        <v>7</v>
      </c>
      <c r="L15" s="14" t="n">
        <v>11.75</v>
      </c>
      <c r="M15" s="14" t="n">
        <v>17.24</v>
      </c>
      <c r="N15" s="14" t="n">
        <v>11.75</v>
      </c>
      <c r="O15" s="14" t="n">
        <v>11.75</v>
      </c>
      <c r="Z15" s="14" t="n">
        <v>11.98</v>
      </c>
      <c r="AA15" s="14" t="n">
        <v>11.98</v>
      </c>
      <c r="AD15" s="16" t="n">
        <v>14.66</v>
      </c>
      <c r="AE15" s="14" t="n">
        <v>17.24</v>
      </c>
    </row>
    <row r="16" customFormat="false" ht="15" hidden="false" customHeight="false" outlineLevel="0" collapsed="false">
      <c r="A16" s="17" t="s">
        <v>101</v>
      </c>
      <c r="B16" s="17" t="s">
        <v>102</v>
      </c>
      <c r="C16" s="17" t="s">
        <v>81</v>
      </c>
      <c r="D16" s="17" t="s">
        <v>77</v>
      </c>
      <c r="E16" s="17" t="s">
        <v>78</v>
      </c>
      <c r="F16" s="18" t="n">
        <f aca="false">MIN(N16:AE16)</f>
        <v>19.23</v>
      </c>
      <c r="G16" s="18" t="n">
        <f aca="false">MAX(N16:AE16)</f>
        <v>24.41</v>
      </c>
      <c r="H16" s="19" t="n">
        <f aca="false">G16-F16</f>
        <v>5.18</v>
      </c>
      <c r="I16" s="20" t="n">
        <f aca="false">IFERROR((G16-F16)/F16,0)</f>
        <v>0.269370774830993</v>
      </c>
      <c r="J16" s="17" t="n">
        <v>4</v>
      </c>
      <c r="K16" s="17" t="n">
        <v>6</v>
      </c>
      <c r="L16" s="18" t="n">
        <v>19.23</v>
      </c>
      <c r="M16" s="18" t="n">
        <v>24.41</v>
      </c>
      <c r="N16" s="14" t="n">
        <v>19.23</v>
      </c>
      <c r="O16" s="14" t="n">
        <v>19.23</v>
      </c>
      <c r="Z16" s="14" t="n">
        <v>19.25</v>
      </c>
      <c r="AA16" s="14" t="n">
        <v>19.25</v>
      </c>
      <c r="AD16" s="16" t="n">
        <v>20.55</v>
      </c>
      <c r="AE16" s="14" t="n">
        <v>24.41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s">
        <v>81</v>
      </c>
      <c r="D17" s="0" t="s">
        <v>77</v>
      </c>
      <c r="E17" s="0" t="s">
        <v>78</v>
      </c>
      <c r="F17" s="14" t="n">
        <f aca="false">MIN(N17:AE17)</f>
        <v>14.7</v>
      </c>
      <c r="G17" s="14" t="n">
        <f aca="false">MAX(N17:AE17)</f>
        <v>19.74</v>
      </c>
      <c r="H17" s="15" t="n">
        <f aca="false">G17-F17</f>
        <v>5.04</v>
      </c>
      <c r="I17" s="8" t="n">
        <f aca="false">IFERROR((G17-F17)/F17,0)</f>
        <v>0.342857142857143</v>
      </c>
      <c r="J17" s="0" t="n">
        <v>4</v>
      </c>
      <c r="K17" s="0" t="n">
        <v>6</v>
      </c>
      <c r="L17" s="14" t="n">
        <v>14.7</v>
      </c>
      <c r="M17" s="14" t="n">
        <v>19.74</v>
      </c>
      <c r="N17" s="14" t="n">
        <v>14.7</v>
      </c>
      <c r="O17" s="14" t="n">
        <v>14.7</v>
      </c>
      <c r="Z17" s="14" t="n">
        <v>14.73</v>
      </c>
      <c r="AA17" s="14" t="n">
        <v>14.73</v>
      </c>
      <c r="AD17" s="16" t="n">
        <v>18.93</v>
      </c>
      <c r="AE17" s="14" t="n">
        <v>19.74</v>
      </c>
    </row>
    <row r="18" customFormat="false" ht="15" hidden="false" customHeight="false" outlineLevel="0" collapsed="false">
      <c r="A18" s="17" t="s">
        <v>105</v>
      </c>
      <c r="B18" s="17" t="s">
        <v>106</v>
      </c>
      <c r="C18" s="17" t="s">
        <v>81</v>
      </c>
      <c r="D18" s="17" t="s">
        <v>77</v>
      </c>
      <c r="E18" s="17" t="s">
        <v>78</v>
      </c>
      <c r="F18" s="18" t="n">
        <f aca="false">MIN(N18:AE18)</f>
        <v>13.99</v>
      </c>
      <c r="G18" s="18" t="n">
        <f aca="false">MAX(N18:AE18)</f>
        <v>20.64</v>
      </c>
      <c r="H18" s="19" t="n">
        <f aca="false">G18-F18</f>
        <v>6.65</v>
      </c>
      <c r="I18" s="20" t="n">
        <f aca="false">IFERROR((G18-F18)/F18,0)</f>
        <v>0.475339528234453</v>
      </c>
      <c r="J18" s="17" t="n">
        <v>4</v>
      </c>
      <c r="K18" s="17" t="n">
        <v>4</v>
      </c>
      <c r="L18" s="18" t="n">
        <v>15.12</v>
      </c>
      <c r="M18" s="18" t="n">
        <v>20.64</v>
      </c>
      <c r="O18" s="14" t="n">
        <v>15.12</v>
      </c>
      <c r="Z18" s="14" t="n">
        <v>13.99</v>
      </c>
      <c r="AD18" s="14" t="n">
        <v>20.2</v>
      </c>
      <c r="AE18" s="14" t="n">
        <v>20.64</v>
      </c>
    </row>
    <row r="19" customFormat="false" ht="15" hidden="false" customHeight="false" outlineLevel="0" collapsed="false">
      <c r="A19" s="0" t="s">
        <v>107</v>
      </c>
      <c r="B19" s="0" t="s">
        <v>108</v>
      </c>
      <c r="C19" s="0" t="s">
        <v>81</v>
      </c>
      <c r="D19" s="0" t="s">
        <v>77</v>
      </c>
      <c r="E19" s="0" t="s">
        <v>78</v>
      </c>
      <c r="F19" s="14" t="n">
        <f aca="false">MIN(N19:AE19)</f>
        <v>15.91</v>
      </c>
      <c r="G19" s="14" t="n">
        <f aca="false">MAX(N19:AE19)</f>
        <v>18.18</v>
      </c>
      <c r="H19" s="15" t="n">
        <f aca="false">G19-F19</f>
        <v>2.27</v>
      </c>
      <c r="I19" s="8" t="n">
        <f aca="false">IFERROR((G19-F19)/F19,0)</f>
        <v>0.142677561282212</v>
      </c>
      <c r="J19" s="0" t="n">
        <v>4</v>
      </c>
      <c r="K19" s="0" t="n">
        <v>5</v>
      </c>
      <c r="L19" s="14" t="n">
        <v>15.91</v>
      </c>
      <c r="M19" s="14" t="n">
        <v>15.99</v>
      </c>
      <c r="N19" s="14" t="n">
        <v>15.91</v>
      </c>
      <c r="O19" s="14" t="n">
        <v>15.91</v>
      </c>
      <c r="Z19" s="14" t="n">
        <v>15.94</v>
      </c>
      <c r="AA19" s="14" t="n">
        <v>15.99</v>
      </c>
      <c r="AE19" s="16" t="n">
        <v>18.18</v>
      </c>
    </row>
    <row r="20" customFormat="false" ht="15" hidden="false" customHeight="false" outlineLevel="0" collapsed="false">
      <c r="A20" s="17" t="s">
        <v>109</v>
      </c>
      <c r="B20" s="17" t="s">
        <v>110</v>
      </c>
      <c r="C20" s="17" t="s">
        <v>81</v>
      </c>
      <c r="D20" s="17" t="s">
        <v>77</v>
      </c>
      <c r="E20" s="17" t="s">
        <v>78</v>
      </c>
      <c r="F20" s="18" t="n">
        <f aca="false">MIN(N20:AE20)</f>
        <v>10.76</v>
      </c>
      <c r="G20" s="18" t="n">
        <f aca="false">MAX(N20:AE20)</f>
        <v>18.71</v>
      </c>
      <c r="H20" s="19" t="n">
        <f aca="false">G20-F20</f>
        <v>7.95</v>
      </c>
      <c r="I20" s="20" t="n">
        <f aca="false">IFERROR((G20-F20)/F20,0)</f>
        <v>0.738847583643123</v>
      </c>
      <c r="J20" s="17" t="n">
        <v>4</v>
      </c>
      <c r="K20" s="17" t="n">
        <v>6</v>
      </c>
      <c r="L20" s="18" t="n">
        <v>11.13</v>
      </c>
      <c r="M20" s="18" t="n">
        <v>14.68</v>
      </c>
      <c r="N20" s="16" t="n">
        <v>11.13</v>
      </c>
      <c r="O20" s="16" t="n">
        <v>11.13</v>
      </c>
      <c r="Z20" s="16" t="n">
        <v>10.76</v>
      </c>
      <c r="AA20" s="16" t="n">
        <v>10.76</v>
      </c>
      <c r="AD20" s="14" t="n">
        <v>18.71</v>
      </c>
      <c r="AE20" s="16" t="n">
        <v>14.68</v>
      </c>
    </row>
    <row r="21" customFormat="false" ht="15" hidden="false" customHeight="false" outlineLevel="0" collapsed="false">
      <c r="A21" s="0" t="s">
        <v>111</v>
      </c>
      <c r="B21" s="0" t="s">
        <v>112</v>
      </c>
      <c r="C21" s="0" t="s">
        <v>81</v>
      </c>
      <c r="D21" s="0" t="s">
        <v>77</v>
      </c>
      <c r="E21" s="0" t="s">
        <v>78</v>
      </c>
      <c r="F21" s="14" t="n">
        <f aca="false">MIN(N21:AE21)</f>
        <v>12.18</v>
      </c>
      <c r="G21" s="14" t="n">
        <f aca="false">MAX(N21:AE21)</f>
        <v>20.71</v>
      </c>
      <c r="H21" s="15" t="n">
        <f aca="false">G21-F21</f>
        <v>8.53</v>
      </c>
      <c r="I21" s="8" t="n">
        <f aca="false">IFERROR((G21-F21)/F21,0)</f>
        <v>0.700328407224959</v>
      </c>
      <c r="J21" s="0" t="n">
        <v>4</v>
      </c>
      <c r="K21" s="0" t="n">
        <v>5</v>
      </c>
      <c r="L21" s="14" t="n">
        <v>12.18</v>
      </c>
      <c r="M21" s="14" t="n">
        <v>17.94</v>
      </c>
      <c r="N21" s="16" t="n">
        <v>12.18</v>
      </c>
      <c r="O21" s="16" t="n">
        <v>12.18</v>
      </c>
      <c r="Z21" s="16" t="n">
        <v>12.38</v>
      </c>
      <c r="AD21" s="14" t="n">
        <v>20.71</v>
      </c>
      <c r="AE21" s="16" t="n">
        <v>17.94</v>
      </c>
    </row>
    <row r="22" customFormat="false" ht="15" hidden="false" customHeight="false" outlineLevel="0" collapsed="false">
      <c r="A22" s="17" t="s">
        <v>113</v>
      </c>
      <c r="B22" s="17" t="s">
        <v>114</v>
      </c>
      <c r="C22" s="17" t="s">
        <v>76</v>
      </c>
      <c r="D22" s="17" t="s">
        <v>115</v>
      </c>
      <c r="E22" s="17" t="s">
        <v>78</v>
      </c>
      <c r="F22" s="18" t="n">
        <f aca="false">MIN(N22:AE22)</f>
        <v>11.81</v>
      </c>
      <c r="G22" s="18" t="n">
        <f aca="false">MAX(N22:AE22)</f>
        <v>15.16</v>
      </c>
      <c r="H22" s="19" t="n">
        <f aca="false">G22-F22</f>
        <v>3.35</v>
      </c>
      <c r="I22" s="20" t="n">
        <f aca="false">IFERROR((G22-F22)/F22,0)</f>
        <v>0.283657917019475</v>
      </c>
      <c r="J22" s="17" t="n">
        <v>3</v>
      </c>
      <c r="K22" s="17" t="n">
        <v>6</v>
      </c>
      <c r="L22" s="18" t="n">
        <v>11.81</v>
      </c>
      <c r="M22" s="18" t="n">
        <v>15.16</v>
      </c>
      <c r="N22" s="14" t="n">
        <v>11.81</v>
      </c>
      <c r="O22" s="14" t="n">
        <v>11.81</v>
      </c>
      <c r="V22" s="14" t="n">
        <v>11.81</v>
      </c>
      <c r="Z22" s="14" t="n">
        <v>11.81</v>
      </c>
      <c r="AA22" s="14" t="n">
        <v>13.14</v>
      </c>
      <c r="AD22" s="14" t="n">
        <v>15.16</v>
      </c>
    </row>
    <row r="23" customFormat="false" ht="15" hidden="false" customHeight="false" outlineLevel="0" collapsed="false">
      <c r="A23" s="0" t="s">
        <v>116</v>
      </c>
      <c r="B23" s="0" t="s">
        <v>117</v>
      </c>
      <c r="C23" s="0" t="s">
        <v>76</v>
      </c>
      <c r="D23" s="0" t="s">
        <v>77</v>
      </c>
      <c r="E23" s="0" t="s">
        <v>78</v>
      </c>
      <c r="F23" s="14" t="n">
        <f aca="false">MIN(N23:AE23)</f>
        <v>13.2</v>
      </c>
      <c r="G23" s="14" t="n">
        <f aca="false">MAX(N23:AE23)</f>
        <v>16.84</v>
      </c>
      <c r="H23" s="15" t="n">
        <f aca="false">G23-F23</f>
        <v>3.64</v>
      </c>
      <c r="I23" s="8" t="n">
        <f aca="false">IFERROR((G23-F23)/F23,0)</f>
        <v>0.275757575757576</v>
      </c>
      <c r="J23" s="0" t="n">
        <v>3</v>
      </c>
      <c r="K23" s="0" t="n">
        <v>6</v>
      </c>
      <c r="L23" s="14" t="n">
        <v>13.46</v>
      </c>
      <c r="M23" s="14" t="n">
        <v>16.84</v>
      </c>
      <c r="N23" s="14" t="n">
        <v>13.46</v>
      </c>
      <c r="S23" s="14" t="n">
        <v>13.46</v>
      </c>
      <c r="V23" s="16" t="n">
        <v>13.2</v>
      </c>
      <c r="Z23" s="14" t="n">
        <v>13.46</v>
      </c>
      <c r="AA23" s="14" t="n">
        <v>13.46</v>
      </c>
      <c r="AD23" s="14" t="n">
        <v>16.84</v>
      </c>
    </row>
    <row r="24" customFormat="false" ht="15" hidden="false" customHeight="false" outlineLevel="0" collapsed="false">
      <c r="A24" s="17" t="s">
        <v>118</v>
      </c>
      <c r="B24" s="17" t="s">
        <v>119</v>
      </c>
      <c r="C24" s="17" t="s">
        <v>76</v>
      </c>
      <c r="D24" s="17" t="s">
        <v>77</v>
      </c>
      <c r="E24" s="17" t="s">
        <v>78</v>
      </c>
      <c r="F24" s="18" t="n">
        <f aca="false">MIN(N24:AE24)</f>
        <v>14.9</v>
      </c>
      <c r="G24" s="18" t="n">
        <f aca="false">MAX(N24:AE24)</f>
        <v>17.71</v>
      </c>
      <c r="H24" s="19" t="n">
        <f aca="false">G24-F24</f>
        <v>2.81</v>
      </c>
      <c r="I24" s="20" t="n">
        <f aca="false">IFERROR((G24-F24)/F24,0)</f>
        <v>0.188590604026846</v>
      </c>
      <c r="J24" s="17" t="n">
        <v>3</v>
      </c>
      <c r="K24" s="17" t="n">
        <v>5</v>
      </c>
      <c r="L24" s="18" t="n">
        <v>14.9</v>
      </c>
      <c r="M24" s="18" t="n">
        <v>17.71</v>
      </c>
      <c r="N24" s="14" t="n">
        <v>14.9</v>
      </c>
      <c r="O24" s="14" t="n">
        <v>14.9</v>
      </c>
      <c r="Z24" s="14" t="n">
        <v>14.9</v>
      </c>
      <c r="AA24" s="14" t="n">
        <v>15.35</v>
      </c>
      <c r="AD24" s="14" t="n">
        <v>17.71</v>
      </c>
    </row>
    <row r="25" customFormat="false" ht="15" hidden="false" customHeight="false" outlineLevel="0" collapsed="false">
      <c r="A25" s="0" t="s">
        <v>120</v>
      </c>
      <c r="B25" s="0" t="s">
        <v>121</v>
      </c>
      <c r="C25" s="0" t="s">
        <v>76</v>
      </c>
      <c r="D25" s="0" t="s">
        <v>77</v>
      </c>
      <c r="E25" s="0" t="s">
        <v>78</v>
      </c>
      <c r="F25" s="14" t="n">
        <f aca="false">MIN(N25:AE25)</f>
        <v>20.39</v>
      </c>
      <c r="G25" s="14" t="n">
        <f aca="false">MAX(N25:AE25)</f>
        <v>24.52</v>
      </c>
      <c r="H25" s="15" t="n">
        <f aca="false">G25-F25</f>
        <v>4.13</v>
      </c>
      <c r="I25" s="8" t="n">
        <f aca="false">IFERROR((G25-F25)/F25,0)</f>
        <v>0.202550269740069</v>
      </c>
      <c r="J25" s="0" t="n">
        <v>3</v>
      </c>
      <c r="K25" s="0" t="n">
        <v>5</v>
      </c>
      <c r="L25" s="14" t="n">
        <v>20.39</v>
      </c>
      <c r="M25" s="14" t="n">
        <v>24.52</v>
      </c>
      <c r="N25" s="14" t="n">
        <v>20.39</v>
      </c>
      <c r="V25" s="14" t="n">
        <v>20.39</v>
      </c>
      <c r="Z25" s="14" t="n">
        <v>20.39</v>
      </c>
      <c r="AD25" s="14" t="n">
        <v>24.52</v>
      </c>
      <c r="AE25" s="16" t="n">
        <v>22.84</v>
      </c>
    </row>
    <row r="26" customFormat="false" ht="15" hidden="false" customHeight="false" outlineLevel="0" collapsed="false">
      <c r="A26" s="17" t="s">
        <v>122</v>
      </c>
      <c r="B26" s="17" t="s">
        <v>123</v>
      </c>
      <c r="C26" s="17" t="s">
        <v>76</v>
      </c>
      <c r="D26" s="17" t="s">
        <v>77</v>
      </c>
      <c r="E26" s="17" t="s">
        <v>78</v>
      </c>
      <c r="F26" s="18" t="n">
        <f aca="false">MIN(N26:AE26)</f>
        <v>11.2</v>
      </c>
      <c r="G26" s="18" t="n">
        <f aca="false">MAX(N26:AE26)</f>
        <v>13.03</v>
      </c>
      <c r="H26" s="19" t="n">
        <f aca="false">G26-F26</f>
        <v>1.83</v>
      </c>
      <c r="I26" s="20" t="n">
        <f aca="false">IFERROR((G26-F26)/F26,0)</f>
        <v>0.163392857142857</v>
      </c>
      <c r="J26" s="17" t="n">
        <v>3</v>
      </c>
      <c r="K26" s="17" t="n">
        <v>5</v>
      </c>
      <c r="L26" s="18" t="n">
        <v>11.42</v>
      </c>
      <c r="M26" s="18" t="n">
        <v>13.03</v>
      </c>
      <c r="N26" s="14" t="n">
        <v>11.42</v>
      </c>
      <c r="S26" s="16" t="n">
        <v>11.2</v>
      </c>
      <c r="V26" s="14" t="n">
        <v>11.42</v>
      </c>
      <c r="Z26" s="16" t="n">
        <v>11.2</v>
      </c>
      <c r="AD26" s="14" t="n">
        <v>13.03</v>
      </c>
    </row>
    <row r="27" customFormat="false" ht="15" hidden="false" customHeight="false" outlineLevel="0" collapsed="false">
      <c r="A27" s="0" t="s">
        <v>124</v>
      </c>
      <c r="B27" s="0" t="s">
        <v>125</v>
      </c>
      <c r="C27" s="0" t="s">
        <v>76</v>
      </c>
      <c r="D27" s="0" t="s">
        <v>77</v>
      </c>
      <c r="E27" s="0" t="s">
        <v>78</v>
      </c>
      <c r="F27" s="14" t="n">
        <f aca="false">MIN(N27:AE27)</f>
        <v>8.02</v>
      </c>
      <c r="G27" s="14" t="n">
        <f aca="false">MAX(N27:AE27)</f>
        <v>12.55</v>
      </c>
      <c r="H27" s="15" t="n">
        <f aca="false">G27-F27</f>
        <v>4.53</v>
      </c>
      <c r="I27" s="8" t="n">
        <f aca="false">IFERROR((G27-F27)/F27,0)</f>
        <v>0.564837905236908</v>
      </c>
      <c r="J27" s="0" t="n">
        <v>3</v>
      </c>
      <c r="K27" s="0" t="n">
        <v>8</v>
      </c>
      <c r="L27" s="14" t="n">
        <v>9.63</v>
      </c>
      <c r="M27" s="14" t="n">
        <v>12.55</v>
      </c>
      <c r="N27" s="14" t="n">
        <v>9.63</v>
      </c>
      <c r="O27" s="14" t="n">
        <v>9.63</v>
      </c>
      <c r="S27" s="16" t="n">
        <v>8.02</v>
      </c>
      <c r="V27" s="16" t="n">
        <v>8.02</v>
      </c>
      <c r="Z27" s="16" t="n">
        <v>8.02</v>
      </c>
      <c r="AA27" s="16" t="n">
        <v>8.02</v>
      </c>
      <c r="AD27" s="14" t="n">
        <v>12.55</v>
      </c>
      <c r="AE27" s="14" t="n">
        <v>12.55</v>
      </c>
    </row>
    <row r="28" customFormat="false" ht="15" hidden="false" customHeight="false" outlineLevel="0" collapsed="false">
      <c r="A28" s="17" t="s">
        <v>126</v>
      </c>
      <c r="B28" s="17" t="s">
        <v>127</v>
      </c>
      <c r="C28" s="17" t="s">
        <v>76</v>
      </c>
      <c r="D28" s="17" t="s">
        <v>77</v>
      </c>
      <c r="E28" s="17" t="s">
        <v>78</v>
      </c>
      <c r="F28" s="18" t="n">
        <f aca="false">MIN(N28:AE28)</f>
        <v>16.68</v>
      </c>
      <c r="G28" s="18" t="n">
        <f aca="false">MAX(N28:AE28)</f>
        <v>19.43</v>
      </c>
      <c r="H28" s="19" t="n">
        <f aca="false">G28-F28</f>
        <v>2.75</v>
      </c>
      <c r="I28" s="20" t="n">
        <f aca="false">IFERROR((G28-F28)/F28,0)</f>
        <v>0.164868105515588</v>
      </c>
      <c r="J28" s="17" t="n">
        <v>3</v>
      </c>
      <c r="K28" s="17" t="n">
        <v>5</v>
      </c>
      <c r="L28" s="18" t="n">
        <v>16.68</v>
      </c>
      <c r="M28" s="18" t="n">
        <v>19.43</v>
      </c>
      <c r="S28" s="14" t="n">
        <v>16.68</v>
      </c>
      <c r="V28" s="14" t="n">
        <v>16.68</v>
      </c>
      <c r="Z28" s="14" t="n">
        <v>16.68</v>
      </c>
      <c r="AA28" s="14" t="n">
        <v>16.84</v>
      </c>
      <c r="AD28" s="14" t="n">
        <v>19.43</v>
      </c>
    </row>
    <row r="29" customFormat="false" ht="15" hidden="false" customHeight="false" outlineLevel="0" collapsed="false">
      <c r="A29" s="0" t="s">
        <v>128</v>
      </c>
      <c r="B29" s="0" t="s">
        <v>129</v>
      </c>
      <c r="C29" s="0" t="s">
        <v>98</v>
      </c>
      <c r="D29" s="0" t="s">
        <v>115</v>
      </c>
      <c r="E29" s="0" t="s">
        <v>78</v>
      </c>
      <c r="F29" s="14" t="n">
        <f aca="false">MIN(N29:AE29)</f>
        <v>13.4</v>
      </c>
      <c r="G29" s="14" t="n">
        <f aca="false">MAX(N29:AE29)</f>
        <v>18.03</v>
      </c>
      <c r="H29" s="15" t="n">
        <f aca="false">G29-F29</f>
        <v>4.63</v>
      </c>
      <c r="I29" s="8" t="n">
        <f aca="false">IFERROR((G29-F29)/F29,0)</f>
        <v>0.345522388059702</v>
      </c>
      <c r="J29" s="0" t="n">
        <v>3</v>
      </c>
      <c r="K29" s="0" t="n">
        <v>6</v>
      </c>
      <c r="L29" s="14" t="n">
        <v>15.19</v>
      </c>
      <c r="M29" s="14" t="n">
        <v>18.03</v>
      </c>
      <c r="N29" s="14" t="n">
        <v>15.19</v>
      </c>
      <c r="S29" s="14" t="n">
        <v>15.19</v>
      </c>
      <c r="V29" s="14" t="n">
        <v>15.19</v>
      </c>
      <c r="Y29" s="14" t="n">
        <v>15.19</v>
      </c>
      <c r="Z29" s="16" t="n">
        <v>13.4</v>
      </c>
      <c r="AE29" s="14" t="n">
        <v>18.03</v>
      </c>
    </row>
    <row r="30" customFormat="false" ht="15" hidden="false" customHeight="false" outlineLevel="0" collapsed="false">
      <c r="A30" s="17" t="s">
        <v>130</v>
      </c>
      <c r="B30" s="17" t="s">
        <v>131</v>
      </c>
      <c r="C30" s="17" t="s">
        <v>98</v>
      </c>
      <c r="D30" s="17" t="s">
        <v>77</v>
      </c>
      <c r="E30" s="17" t="s">
        <v>78</v>
      </c>
      <c r="F30" s="18" t="n">
        <f aca="false">MIN(N30:AE30)</f>
        <v>4.41</v>
      </c>
      <c r="G30" s="18" t="n">
        <f aca="false">MAX(N30:AE30)</f>
        <v>5.02</v>
      </c>
      <c r="H30" s="19" t="n">
        <f aca="false">G30-F30</f>
        <v>0.609999999999999</v>
      </c>
      <c r="I30" s="20" t="n">
        <f aca="false">IFERROR((G30-F30)/F30,0)</f>
        <v>0.138321995464852</v>
      </c>
      <c r="J30" s="17" t="n">
        <v>3</v>
      </c>
      <c r="K30" s="17" t="n">
        <v>6</v>
      </c>
      <c r="L30" s="18" t="n">
        <v>4.41</v>
      </c>
      <c r="M30" s="18" t="n">
        <v>5.02</v>
      </c>
      <c r="N30" s="14" t="n">
        <v>4.41</v>
      </c>
      <c r="O30" s="14" t="n">
        <v>4.41</v>
      </c>
      <c r="V30" s="14" t="n">
        <v>4.41</v>
      </c>
      <c r="Z30" s="14" t="n">
        <v>4.41</v>
      </c>
      <c r="AA30" s="14" t="n">
        <v>4.45</v>
      </c>
      <c r="AE30" s="14" t="n">
        <v>5.02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s">
        <v>98</v>
      </c>
      <c r="D31" s="0" t="s">
        <v>77</v>
      </c>
      <c r="E31" s="0" t="s">
        <v>78</v>
      </c>
      <c r="F31" s="14" t="n">
        <f aca="false">MIN(N31:AE31)</f>
        <v>5.27</v>
      </c>
      <c r="G31" s="14" t="n">
        <f aca="false">MAX(N31:AE31)</f>
        <v>6.73</v>
      </c>
      <c r="H31" s="15" t="n">
        <f aca="false">G31-F31</f>
        <v>1.46</v>
      </c>
      <c r="I31" s="8" t="n">
        <f aca="false">IFERROR((G31-F31)/F31,0)</f>
        <v>0.277039848197344</v>
      </c>
      <c r="J31" s="0" t="n">
        <v>3</v>
      </c>
      <c r="K31" s="0" t="n">
        <v>4</v>
      </c>
      <c r="L31" s="14" t="n">
        <v>5.38</v>
      </c>
      <c r="M31" s="14" t="n">
        <v>6.73</v>
      </c>
      <c r="N31" s="14" t="n">
        <v>5.38</v>
      </c>
      <c r="O31" s="16" t="n">
        <v>5.27</v>
      </c>
      <c r="V31" s="16" t="n">
        <v>5.27</v>
      </c>
      <c r="AE31" s="14" t="n">
        <v>6.73</v>
      </c>
    </row>
    <row r="32" customFormat="false" ht="15" hidden="false" customHeight="false" outlineLevel="0" collapsed="false">
      <c r="A32" s="17" t="s">
        <v>134</v>
      </c>
      <c r="B32" s="17" t="s">
        <v>135</v>
      </c>
      <c r="C32" s="17" t="s">
        <v>81</v>
      </c>
      <c r="D32" s="17" t="s">
        <v>77</v>
      </c>
      <c r="E32" s="17" t="s">
        <v>78</v>
      </c>
      <c r="F32" s="18" t="n">
        <f aca="false">MIN(N32:AE32)</f>
        <v>15.31</v>
      </c>
      <c r="G32" s="18" t="n">
        <f aca="false">MAX(N32:AE32)</f>
        <v>15.42</v>
      </c>
      <c r="H32" s="19" t="n">
        <f aca="false">G32-F32</f>
        <v>0.109999999999999</v>
      </c>
      <c r="I32" s="20" t="n">
        <f aca="false">IFERROR((G32-F32)/F32,0)</f>
        <v>0.00718484650555189</v>
      </c>
      <c r="J32" s="17" t="n">
        <v>3</v>
      </c>
      <c r="K32" s="17" t="n">
        <v>7</v>
      </c>
      <c r="L32" s="18" t="n">
        <v>15.31</v>
      </c>
      <c r="M32" s="18" t="n">
        <v>15.42</v>
      </c>
      <c r="N32" s="14" t="n">
        <v>15.31</v>
      </c>
      <c r="O32" s="14" t="n">
        <v>15.31</v>
      </c>
      <c r="S32" s="14" t="n">
        <v>15.31</v>
      </c>
      <c r="V32" s="14" t="n">
        <v>15.31</v>
      </c>
      <c r="Z32" s="14" t="n">
        <v>15.36</v>
      </c>
      <c r="AA32" s="14" t="n">
        <v>15.36</v>
      </c>
      <c r="AB32" s="14" t="n">
        <v>15.42</v>
      </c>
    </row>
    <row r="33" customFormat="false" ht="15" hidden="false" customHeight="false" outlineLevel="0" collapsed="false">
      <c r="A33" s="0" t="s">
        <v>136</v>
      </c>
      <c r="B33" s="0" t="s">
        <v>137</v>
      </c>
      <c r="C33" s="0" t="s">
        <v>81</v>
      </c>
      <c r="D33" s="0" t="s">
        <v>77</v>
      </c>
      <c r="E33" s="0" t="s">
        <v>78</v>
      </c>
      <c r="F33" s="14" t="n">
        <f aca="false">MIN(N33:AE33)</f>
        <v>14.61</v>
      </c>
      <c r="G33" s="14" t="n">
        <f aca="false">MAX(N33:AE33)</f>
        <v>23.98</v>
      </c>
      <c r="H33" s="15" t="n">
        <f aca="false">G33-F33</f>
        <v>9.37</v>
      </c>
      <c r="I33" s="8" t="n">
        <f aca="false">IFERROR((G33-F33)/F33,0)</f>
        <v>0.641341546885695</v>
      </c>
      <c r="J33" s="0" t="n">
        <v>3</v>
      </c>
      <c r="K33" s="0" t="n">
        <v>6</v>
      </c>
      <c r="L33" s="14" t="n">
        <v>16.55</v>
      </c>
      <c r="M33" s="14" t="n">
        <v>23.98</v>
      </c>
      <c r="N33" s="16" t="n">
        <v>14.61</v>
      </c>
      <c r="O33" s="16" t="n">
        <v>14.61</v>
      </c>
      <c r="S33" s="14" t="n">
        <v>16.55</v>
      </c>
      <c r="V33" s="14" t="n">
        <v>16.55</v>
      </c>
      <c r="AB33" s="16" t="n">
        <v>14.61</v>
      </c>
      <c r="AD33" s="14" t="n">
        <v>23.98</v>
      </c>
    </row>
    <row r="34" customFormat="false" ht="15" hidden="false" customHeight="false" outlineLevel="0" collapsed="false">
      <c r="A34" s="17" t="s">
        <v>138</v>
      </c>
      <c r="B34" s="17" t="s">
        <v>139</v>
      </c>
      <c r="C34" s="17" t="s">
        <v>81</v>
      </c>
      <c r="D34" s="17" t="s">
        <v>77</v>
      </c>
      <c r="E34" s="17" t="s">
        <v>78</v>
      </c>
      <c r="F34" s="18" t="n">
        <f aca="false">MIN(N34:AE34)</f>
        <v>12.99</v>
      </c>
      <c r="G34" s="18" t="n">
        <f aca="false">MAX(N34:AE34)</f>
        <v>14.3</v>
      </c>
      <c r="H34" s="19" t="n">
        <f aca="false">G34-F34</f>
        <v>1.31</v>
      </c>
      <c r="I34" s="20" t="n">
        <f aca="false">IFERROR((G34-F34)/F34,0)</f>
        <v>0.100846805234796</v>
      </c>
      <c r="J34" s="17" t="n">
        <v>3</v>
      </c>
      <c r="K34" s="17" t="n">
        <v>3</v>
      </c>
      <c r="L34" s="18" t="n">
        <v>12.99</v>
      </c>
      <c r="M34" s="18" t="n">
        <v>14.3</v>
      </c>
      <c r="N34" s="14" t="n">
        <v>12.99</v>
      </c>
      <c r="AD34" s="14" t="n">
        <v>14.3</v>
      </c>
      <c r="AE34" s="16" t="n">
        <v>14.14</v>
      </c>
    </row>
    <row r="35" customFormat="false" ht="15" hidden="false" customHeight="false" outlineLevel="0" collapsed="false">
      <c r="A35" s="0" t="s">
        <v>140</v>
      </c>
      <c r="B35" s="0" t="s">
        <v>141</v>
      </c>
      <c r="C35" s="0" t="s">
        <v>81</v>
      </c>
      <c r="D35" s="0" t="s">
        <v>77</v>
      </c>
      <c r="E35" s="0" t="s">
        <v>78</v>
      </c>
      <c r="F35" s="14" t="n">
        <f aca="false">MIN(N35:AE35)</f>
        <v>13.38</v>
      </c>
      <c r="G35" s="14" t="n">
        <f aca="false">MAX(N35:AE35)</f>
        <v>17.05</v>
      </c>
      <c r="H35" s="15" t="n">
        <f aca="false">G35-F35</f>
        <v>3.67</v>
      </c>
      <c r="I35" s="8" t="n">
        <f aca="false">IFERROR((G35-F35)/F35,0)</f>
        <v>0.274289985052317</v>
      </c>
      <c r="J35" s="0" t="n">
        <v>3</v>
      </c>
      <c r="K35" s="0" t="n">
        <v>5</v>
      </c>
      <c r="L35" s="14" t="n">
        <v>15.04</v>
      </c>
      <c r="M35" s="14" t="n">
        <v>17.05</v>
      </c>
      <c r="Z35" s="14" t="n">
        <v>15.04</v>
      </c>
      <c r="AA35" s="14" t="n">
        <v>15.04</v>
      </c>
      <c r="AD35" s="14" t="n">
        <v>17.05</v>
      </c>
      <c r="AE35" s="16" t="n">
        <v>13.38</v>
      </c>
    </row>
    <row r="36" customFormat="false" ht="15" hidden="false" customHeight="false" outlineLevel="0" collapsed="false">
      <c r="A36" s="17" t="s">
        <v>142</v>
      </c>
      <c r="B36" s="17" t="s">
        <v>143</v>
      </c>
      <c r="C36" s="17" t="s">
        <v>81</v>
      </c>
      <c r="D36" s="17" t="s">
        <v>77</v>
      </c>
      <c r="E36" s="17" t="s">
        <v>78</v>
      </c>
      <c r="F36" s="18" t="n">
        <f aca="false">MIN(N36:AE36)</f>
        <v>13.64</v>
      </c>
      <c r="G36" s="18" t="n">
        <f aca="false">MAX(N36:AE36)</f>
        <v>20.45</v>
      </c>
      <c r="H36" s="19" t="n">
        <f aca="false">G36-F36</f>
        <v>6.81</v>
      </c>
      <c r="I36" s="20" t="n">
        <f aca="false">IFERROR((G36-F36)/F36,0)</f>
        <v>0.499266862170088</v>
      </c>
      <c r="J36" s="17" t="n">
        <v>3</v>
      </c>
      <c r="K36" s="17" t="n">
        <v>5</v>
      </c>
      <c r="L36" s="18" t="n">
        <v>13.64</v>
      </c>
      <c r="M36" s="18" t="n">
        <v>20.45</v>
      </c>
      <c r="N36" s="14" t="n">
        <v>13.64</v>
      </c>
      <c r="O36" s="14" t="n">
        <v>13.64</v>
      </c>
      <c r="Z36" s="14" t="n">
        <v>13.67</v>
      </c>
      <c r="AA36" s="14" t="n">
        <v>13.67</v>
      </c>
      <c r="AE36" s="14" t="n">
        <v>20.45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81</v>
      </c>
      <c r="D37" s="0" t="s">
        <v>77</v>
      </c>
      <c r="E37" s="0" t="s">
        <v>78</v>
      </c>
      <c r="F37" s="14" t="n">
        <f aca="false">MIN(N37:AE37)</f>
        <v>13.12</v>
      </c>
      <c r="G37" s="14" t="n">
        <f aca="false">MAX(N37:AE37)</f>
        <v>20.45</v>
      </c>
      <c r="H37" s="15" t="n">
        <f aca="false">G37-F37</f>
        <v>7.33</v>
      </c>
      <c r="I37" s="8" t="n">
        <f aca="false">IFERROR((G37-F37)/F37,0)</f>
        <v>0.558689024390244</v>
      </c>
      <c r="J37" s="0" t="n">
        <v>3</v>
      </c>
      <c r="K37" s="0" t="n">
        <v>6</v>
      </c>
      <c r="L37" s="14" t="n">
        <v>13.12</v>
      </c>
      <c r="M37" s="14" t="n">
        <v>20.45</v>
      </c>
      <c r="N37" s="14" t="n">
        <v>13.12</v>
      </c>
      <c r="O37" s="14" t="n">
        <v>13.12</v>
      </c>
      <c r="Z37" s="14" t="n">
        <v>13.71</v>
      </c>
      <c r="AA37" s="14" t="n">
        <v>13.71</v>
      </c>
      <c r="AB37" s="14" t="n">
        <v>13.71</v>
      </c>
      <c r="AE37" s="14" t="n">
        <v>20.45</v>
      </c>
    </row>
    <row r="38" customFormat="false" ht="15" hidden="false" customHeight="false" outlineLevel="0" collapsed="false">
      <c r="A38" s="17" t="s">
        <v>146</v>
      </c>
      <c r="B38" s="17" t="s">
        <v>147</v>
      </c>
      <c r="C38" s="17" t="s">
        <v>81</v>
      </c>
      <c r="D38" s="17" t="s">
        <v>77</v>
      </c>
      <c r="E38" s="17" t="s">
        <v>78</v>
      </c>
      <c r="F38" s="18" t="n">
        <f aca="false">MIN(N38:AE38)</f>
        <v>10.93</v>
      </c>
      <c r="G38" s="18" t="n">
        <f aca="false">MAX(N38:AE38)</f>
        <v>18.53</v>
      </c>
      <c r="H38" s="19" t="n">
        <f aca="false">G38-F38</f>
        <v>7.6</v>
      </c>
      <c r="I38" s="20" t="n">
        <f aca="false">IFERROR((G38-F38)/F38,0)</f>
        <v>0.695333943275389</v>
      </c>
      <c r="J38" s="17" t="n">
        <v>3</v>
      </c>
      <c r="K38" s="17" t="n">
        <v>6</v>
      </c>
      <c r="L38" s="18" t="n">
        <v>13.92</v>
      </c>
      <c r="M38" s="18" t="n">
        <v>18.53</v>
      </c>
      <c r="N38" s="14" t="n">
        <v>13.92</v>
      </c>
      <c r="O38" s="14" t="n">
        <v>13.92</v>
      </c>
      <c r="Z38" s="16" t="n">
        <v>10.93</v>
      </c>
      <c r="AA38" s="16" t="n">
        <v>10.93</v>
      </c>
      <c r="AD38" s="14" t="n">
        <v>18.53</v>
      </c>
    </row>
    <row r="39" customFormat="false" ht="15" hidden="false" customHeight="false" outlineLevel="0" collapsed="false">
      <c r="A39" s="0" t="s">
        <v>148</v>
      </c>
      <c r="B39" s="0" t="s">
        <v>149</v>
      </c>
      <c r="C39" s="0" t="s">
        <v>81</v>
      </c>
      <c r="D39" s="0" t="s">
        <v>77</v>
      </c>
      <c r="E39" s="0" t="s">
        <v>78</v>
      </c>
      <c r="F39" s="14" t="n">
        <f aca="false">MIN(N39:AE39)</f>
        <v>10.13</v>
      </c>
      <c r="G39" s="14" t="n">
        <f aca="false">MAX(N39:AE39)</f>
        <v>19.26</v>
      </c>
      <c r="H39" s="15" t="n">
        <f aca="false">G39-F39</f>
        <v>9.13</v>
      </c>
      <c r="I39" s="8" t="n">
        <f aca="false">IFERROR((G39-F39)/F39,0)</f>
        <v>0.901283316880553</v>
      </c>
      <c r="J39" s="0" t="n">
        <v>3</v>
      </c>
      <c r="K39" s="0" t="n">
        <v>12</v>
      </c>
      <c r="L39" s="14" t="n">
        <v>12.91</v>
      </c>
      <c r="M39" s="14" t="n">
        <v>19.26</v>
      </c>
      <c r="N39" s="14" t="n">
        <v>12.91</v>
      </c>
      <c r="O39" s="14" t="n">
        <v>12.91</v>
      </c>
      <c r="S39" s="16" t="n">
        <v>10.13</v>
      </c>
      <c r="V39" s="16" t="n">
        <v>10.13</v>
      </c>
      <c r="Z39" s="16" t="n">
        <v>10.13</v>
      </c>
      <c r="AA39" s="16" t="n">
        <v>10.13</v>
      </c>
      <c r="AD39" s="14" t="n">
        <v>19.26</v>
      </c>
    </row>
    <row r="40" customFormat="false" ht="15" hidden="false" customHeight="false" outlineLevel="0" collapsed="false">
      <c r="A40" s="17" t="s">
        <v>150</v>
      </c>
      <c r="B40" s="17" t="s">
        <v>151</v>
      </c>
      <c r="C40" s="17" t="s">
        <v>81</v>
      </c>
      <c r="D40" s="17" t="s">
        <v>77</v>
      </c>
      <c r="E40" s="17" t="s">
        <v>78</v>
      </c>
      <c r="F40" s="18" t="n">
        <f aca="false">MIN(N40:AE40)</f>
        <v>15.4</v>
      </c>
      <c r="G40" s="18" t="n">
        <f aca="false">MAX(N40:AE40)</f>
        <v>20.98</v>
      </c>
      <c r="H40" s="19" t="n">
        <f aca="false">G40-F40</f>
        <v>5.58</v>
      </c>
      <c r="I40" s="20" t="n">
        <f aca="false">IFERROR((G40-F40)/F40,0)</f>
        <v>0.362337662337662</v>
      </c>
      <c r="J40" s="17" t="n">
        <v>3</v>
      </c>
      <c r="K40" s="17" t="n">
        <v>3</v>
      </c>
      <c r="L40" s="18" t="n">
        <v>15.4</v>
      </c>
      <c r="M40" s="18" t="n">
        <v>20.98</v>
      </c>
      <c r="N40" s="16" t="n">
        <v>15.4</v>
      </c>
      <c r="AB40" s="16" t="n">
        <v>16.2</v>
      </c>
      <c r="AE40" s="16" t="n">
        <v>20.98</v>
      </c>
    </row>
    <row r="41" customFormat="false" ht="15" hidden="false" customHeight="false" outlineLevel="0" collapsed="false">
      <c r="A41" s="0" t="s">
        <v>152</v>
      </c>
      <c r="B41" s="0" t="s">
        <v>153</v>
      </c>
      <c r="C41" s="0" t="s">
        <v>81</v>
      </c>
      <c r="D41" s="0" t="s">
        <v>77</v>
      </c>
      <c r="E41" s="0" t="s">
        <v>78</v>
      </c>
      <c r="F41" s="14" t="n">
        <f aca="false">MIN(N41:AE41)</f>
        <v>12.23</v>
      </c>
      <c r="G41" s="14" t="n">
        <f aca="false">MAX(N41:AE41)</f>
        <v>18.2</v>
      </c>
      <c r="H41" s="15" t="n">
        <f aca="false">G41-F41</f>
        <v>5.97</v>
      </c>
      <c r="I41" s="8" t="n">
        <f aca="false">IFERROR((G41-F41)/F41,0)</f>
        <v>0.488143908421913</v>
      </c>
      <c r="J41" s="0" t="n">
        <v>3</v>
      </c>
      <c r="K41" s="0" t="n">
        <v>5</v>
      </c>
      <c r="L41" s="14" t="n">
        <v>12.96</v>
      </c>
      <c r="M41" s="14" t="n">
        <v>18.2</v>
      </c>
      <c r="N41" s="16" t="n">
        <v>12.96</v>
      </c>
      <c r="O41" s="16" t="n">
        <v>12.96</v>
      </c>
      <c r="Z41" s="16" t="n">
        <v>12.23</v>
      </c>
      <c r="AA41" s="16" t="n">
        <v>12.23</v>
      </c>
      <c r="AD41" s="14" t="n">
        <v>18.2</v>
      </c>
    </row>
    <row r="42" customFormat="false" ht="15" hidden="false" customHeight="false" outlineLevel="0" collapsed="false">
      <c r="A42" s="17" t="s">
        <v>154</v>
      </c>
      <c r="B42" s="17" t="s">
        <v>155</v>
      </c>
      <c r="C42" s="17" t="s">
        <v>81</v>
      </c>
      <c r="D42" s="17" t="s">
        <v>77</v>
      </c>
      <c r="E42" s="17" t="s">
        <v>78</v>
      </c>
      <c r="F42" s="18" t="n">
        <f aca="false">MIN(N42:AE42)</f>
        <v>12.02</v>
      </c>
      <c r="G42" s="18" t="n">
        <f aca="false">MAX(N42:AE42)</f>
        <v>16.88</v>
      </c>
      <c r="H42" s="19" t="n">
        <f aca="false">G42-F42</f>
        <v>4.86</v>
      </c>
      <c r="I42" s="20" t="n">
        <f aca="false">IFERROR((G42-F42)/F42,0)</f>
        <v>0.40432612312812</v>
      </c>
      <c r="J42" s="17" t="n">
        <v>3</v>
      </c>
      <c r="K42" s="17" t="n">
        <v>5</v>
      </c>
      <c r="L42" s="18" t="n">
        <v>12.26</v>
      </c>
      <c r="M42" s="18" t="n">
        <v>16.88</v>
      </c>
      <c r="N42" s="14" t="n">
        <v>12.26</v>
      </c>
      <c r="O42" s="14" t="n">
        <v>12.26</v>
      </c>
      <c r="Z42" s="14" t="n">
        <v>12.02</v>
      </c>
      <c r="AA42" s="14" t="n">
        <v>12.02</v>
      </c>
      <c r="AE42" s="14" t="n">
        <v>16.88</v>
      </c>
    </row>
    <row r="43" customFormat="false" ht="15" hidden="false" customHeight="false" outlineLevel="0" collapsed="false">
      <c r="A43" s="0" t="s">
        <v>156</v>
      </c>
      <c r="B43" s="0" t="s">
        <v>157</v>
      </c>
      <c r="C43" s="0" t="s">
        <v>76</v>
      </c>
      <c r="D43" s="0" t="s">
        <v>77</v>
      </c>
      <c r="E43" s="0" t="s">
        <v>78</v>
      </c>
      <c r="F43" s="14" t="n">
        <f aca="false">MIN(N43:AE43)</f>
        <v>3.58</v>
      </c>
      <c r="G43" s="14" t="n">
        <f aca="false">MAX(N43:AE43)</f>
        <v>4.55</v>
      </c>
      <c r="H43" s="15" t="n">
        <f aca="false">G43-F43</f>
        <v>0.97</v>
      </c>
      <c r="I43" s="8" t="n">
        <f aca="false">IFERROR((G43-F43)/F43,0)</f>
        <v>0.270949720670391</v>
      </c>
      <c r="J43" s="0" t="n">
        <v>2</v>
      </c>
      <c r="K43" s="0" t="n">
        <v>5</v>
      </c>
      <c r="L43" s="14" t="n">
        <v>3.58</v>
      </c>
      <c r="M43" s="14" t="n">
        <v>4.55</v>
      </c>
      <c r="N43" s="14" t="n">
        <v>3.58</v>
      </c>
      <c r="V43" s="14" t="n">
        <v>3.58</v>
      </c>
      <c r="Z43" s="14" t="n">
        <v>3.58</v>
      </c>
      <c r="AA43" s="14" t="n">
        <v>3.58</v>
      </c>
      <c r="AD43" s="14" t="n">
        <v>4.55</v>
      </c>
    </row>
    <row r="44" customFormat="false" ht="15" hidden="false" customHeight="false" outlineLevel="0" collapsed="false">
      <c r="A44" s="17" t="s">
        <v>158</v>
      </c>
      <c r="B44" s="17" t="s">
        <v>159</v>
      </c>
      <c r="C44" s="17" t="s">
        <v>160</v>
      </c>
      <c r="D44" s="17" t="s">
        <v>115</v>
      </c>
      <c r="E44" s="17" t="s">
        <v>78</v>
      </c>
      <c r="F44" s="18" t="n">
        <f aca="false">MIN(N44:AE44)</f>
        <v>18.45</v>
      </c>
      <c r="G44" s="18" t="n">
        <f aca="false">MAX(N44:AE44)</f>
        <v>22.14</v>
      </c>
      <c r="H44" s="19" t="n">
        <f aca="false">G44-F44</f>
        <v>3.69</v>
      </c>
      <c r="I44" s="20" t="n">
        <f aca="false">IFERROR((G44-F44)/F44,0)</f>
        <v>0.2</v>
      </c>
      <c r="J44" s="17" t="n">
        <v>2</v>
      </c>
      <c r="K44" s="17" t="n">
        <v>2</v>
      </c>
      <c r="L44" s="18" t="n">
        <v>22.14</v>
      </c>
      <c r="M44" s="18" t="n">
        <v>18.45</v>
      </c>
      <c r="AD44" s="14" t="n">
        <v>22.14</v>
      </c>
      <c r="AE44" s="16" t="n">
        <v>18.45</v>
      </c>
    </row>
    <row r="45" customFormat="false" ht="15" hidden="false" customHeight="false" outlineLevel="0" collapsed="false">
      <c r="A45" s="0" t="s">
        <v>161</v>
      </c>
      <c r="B45" s="0" t="s">
        <v>162</v>
      </c>
      <c r="C45" s="0" t="s">
        <v>76</v>
      </c>
      <c r="D45" s="0" t="s">
        <v>115</v>
      </c>
      <c r="E45" s="0" t="s">
        <v>78</v>
      </c>
      <c r="F45" s="14" t="n">
        <f aca="false">MIN(N45:AE45)</f>
        <v>22.9</v>
      </c>
      <c r="G45" s="14" t="n">
        <f aca="false">MAX(N45:AE45)</f>
        <v>26.42</v>
      </c>
      <c r="H45" s="15" t="n">
        <f aca="false">G45-F45</f>
        <v>3.52</v>
      </c>
      <c r="I45" s="8" t="n">
        <f aca="false">IFERROR((G45-F45)/F45,0)</f>
        <v>0.153711790393013</v>
      </c>
      <c r="J45" s="0" t="n">
        <v>2</v>
      </c>
      <c r="K45" s="0" t="n">
        <v>3</v>
      </c>
      <c r="L45" s="14" t="n">
        <v>22.9</v>
      </c>
      <c r="M45" s="14" t="n">
        <v>26.42</v>
      </c>
      <c r="N45" s="14" t="n">
        <v>22.9</v>
      </c>
      <c r="Z45" s="14" t="n">
        <v>22.9</v>
      </c>
      <c r="AD45" s="14" t="n">
        <v>26.42</v>
      </c>
    </row>
    <row r="46" customFormat="false" ht="15" hidden="false" customHeight="false" outlineLevel="0" collapsed="false">
      <c r="A46" s="17" t="s">
        <v>163</v>
      </c>
      <c r="B46" s="17" t="s">
        <v>164</v>
      </c>
      <c r="C46" s="17" t="s">
        <v>76</v>
      </c>
      <c r="D46" s="17" t="s">
        <v>115</v>
      </c>
      <c r="E46" s="17" t="s">
        <v>78</v>
      </c>
      <c r="F46" s="18" t="n">
        <f aca="false">MIN(N46:AE46)</f>
        <v>21.22</v>
      </c>
      <c r="G46" s="18" t="n">
        <f aca="false">MAX(N46:AE46)</f>
        <v>24</v>
      </c>
      <c r="H46" s="19" t="n">
        <f aca="false">G46-F46</f>
        <v>2.78</v>
      </c>
      <c r="I46" s="20" t="n">
        <f aca="false">IFERROR((G46-F46)/F46,0)</f>
        <v>0.131008482563619</v>
      </c>
      <c r="J46" s="17" t="n">
        <v>2</v>
      </c>
      <c r="K46" s="17" t="n">
        <v>4</v>
      </c>
      <c r="L46" s="18" t="n">
        <v>21.22</v>
      </c>
      <c r="M46" s="18" t="n">
        <v>24</v>
      </c>
      <c r="N46" s="14" t="n">
        <v>21.22</v>
      </c>
      <c r="S46" s="14" t="n">
        <v>21.22</v>
      </c>
      <c r="V46" s="14" t="n">
        <v>21.22</v>
      </c>
      <c r="AD46" s="14" t="n">
        <v>24</v>
      </c>
    </row>
    <row r="47" customFormat="false" ht="15" hidden="false" customHeight="false" outlineLevel="0" collapsed="false">
      <c r="A47" s="0" t="s">
        <v>165</v>
      </c>
      <c r="B47" s="0" t="s">
        <v>166</v>
      </c>
      <c r="C47" s="0" t="s">
        <v>160</v>
      </c>
      <c r="D47" s="0" t="s">
        <v>115</v>
      </c>
      <c r="E47" s="0" t="s">
        <v>78</v>
      </c>
      <c r="F47" s="14" t="n">
        <f aca="false">MIN(N47:AE47)</f>
        <v>7.26</v>
      </c>
      <c r="G47" s="14" t="n">
        <f aca="false">MAX(N47:AE47)</f>
        <v>7.69</v>
      </c>
      <c r="H47" s="15" t="n">
        <f aca="false">G47-F47</f>
        <v>0.430000000000001</v>
      </c>
      <c r="I47" s="8" t="n">
        <f aca="false">IFERROR((G47-F47)/F47,0)</f>
        <v>0.0592286501377411</v>
      </c>
      <c r="J47" s="0" t="n">
        <v>2</v>
      </c>
      <c r="K47" s="0" t="n">
        <v>2</v>
      </c>
      <c r="L47" s="14" t="n">
        <v>7.26</v>
      </c>
      <c r="M47" s="14" t="n">
        <v>7.69</v>
      </c>
      <c r="V47" s="14" t="n">
        <v>7.26</v>
      </c>
      <c r="AE47" s="14" t="n">
        <v>7.69</v>
      </c>
    </row>
    <row r="48" customFormat="false" ht="15" hidden="false" customHeight="false" outlineLevel="0" collapsed="false">
      <c r="A48" s="17" t="s">
        <v>167</v>
      </c>
      <c r="B48" s="17" t="s">
        <v>168</v>
      </c>
      <c r="C48" s="17" t="s">
        <v>169</v>
      </c>
      <c r="D48" s="17" t="s">
        <v>115</v>
      </c>
      <c r="E48" s="17" t="s">
        <v>78</v>
      </c>
      <c r="F48" s="18" t="n">
        <f aca="false">MIN(N48:AE48)</f>
        <v>7.7</v>
      </c>
      <c r="G48" s="18" t="n">
        <f aca="false">MAX(N48:AE48)</f>
        <v>8.55</v>
      </c>
      <c r="H48" s="19" t="n">
        <f aca="false">G48-F48</f>
        <v>0.850000000000001</v>
      </c>
      <c r="I48" s="20" t="n">
        <f aca="false">IFERROR((G48-F48)/F48,0)</f>
        <v>0.11038961038961</v>
      </c>
      <c r="J48" s="17" t="n">
        <v>2</v>
      </c>
      <c r="K48" s="17" t="n">
        <v>4</v>
      </c>
      <c r="L48" s="18" t="n">
        <v>8.55</v>
      </c>
      <c r="M48" s="18" t="n">
        <v>8.55</v>
      </c>
      <c r="N48" s="14" t="n">
        <v>8.55</v>
      </c>
      <c r="O48" s="14" t="n">
        <v>8.55</v>
      </c>
      <c r="P48" s="14" t="n">
        <v>8.55</v>
      </c>
      <c r="V48" s="16" t="n">
        <v>7.7</v>
      </c>
    </row>
    <row r="49" customFormat="false" ht="15" hidden="false" customHeight="false" outlineLevel="0" collapsed="false">
      <c r="A49" s="0" t="s">
        <v>170</v>
      </c>
      <c r="B49" s="0" t="s">
        <v>171</v>
      </c>
      <c r="C49" s="0" t="s">
        <v>76</v>
      </c>
      <c r="D49" s="0" t="s">
        <v>115</v>
      </c>
      <c r="E49" s="0" t="s">
        <v>78</v>
      </c>
      <c r="F49" s="14" t="n">
        <f aca="false">MIN(N49:AE49)</f>
        <v>23.9</v>
      </c>
      <c r="G49" s="14" t="n">
        <f aca="false">MAX(N49:AE49)</f>
        <v>27.85</v>
      </c>
      <c r="H49" s="15" t="n">
        <f aca="false">G49-F49</f>
        <v>3.95</v>
      </c>
      <c r="I49" s="8" t="n">
        <f aca="false">IFERROR((G49-F49)/F49,0)</f>
        <v>0.165271966527197</v>
      </c>
      <c r="J49" s="0" t="n">
        <v>2</v>
      </c>
      <c r="K49" s="0" t="n">
        <v>2</v>
      </c>
      <c r="L49" s="14" t="n">
        <v>23.9</v>
      </c>
      <c r="M49" s="14" t="n">
        <v>27.85</v>
      </c>
      <c r="Z49" s="14" t="n">
        <v>23.9</v>
      </c>
      <c r="AD49" s="14" t="n">
        <v>27.85</v>
      </c>
    </row>
    <row r="50" customFormat="false" ht="15" hidden="false" customHeight="false" outlineLevel="0" collapsed="false">
      <c r="A50" s="17" t="s">
        <v>172</v>
      </c>
      <c r="B50" s="17" t="s">
        <v>173</v>
      </c>
      <c r="C50" s="17" t="s">
        <v>169</v>
      </c>
      <c r="D50" s="17" t="s">
        <v>115</v>
      </c>
      <c r="E50" s="17" t="s">
        <v>78</v>
      </c>
      <c r="F50" s="18" t="n">
        <f aca="false">MIN(N50:AE50)</f>
        <v>10.48</v>
      </c>
      <c r="G50" s="18" t="n">
        <f aca="false">MAX(N50:AE50)</f>
        <v>12</v>
      </c>
      <c r="H50" s="19" t="n">
        <f aca="false">G50-F50</f>
        <v>1.52</v>
      </c>
      <c r="I50" s="20" t="n">
        <f aca="false">IFERROR((G50-F50)/F50,0)</f>
        <v>0.145038167938931</v>
      </c>
      <c r="J50" s="17" t="n">
        <v>2</v>
      </c>
      <c r="K50" s="17" t="n">
        <v>4</v>
      </c>
      <c r="L50" s="18" t="n">
        <v>10.48</v>
      </c>
      <c r="M50" s="18" t="n">
        <v>12</v>
      </c>
      <c r="O50" s="14" t="n">
        <v>10.48</v>
      </c>
      <c r="P50" s="14" t="n">
        <v>10.48</v>
      </c>
      <c r="V50" s="14" t="n">
        <v>10.48</v>
      </c>
      <c r="AE50" s="14" t="n">
        <v>12</v>
      </c>
    </row>
    <row r="51" customFormat="false" ht="15" hidden="false" customHeight="false" outlineLevel="0" collapsed="false">
      <c r="A51" s="0" t="s">
        <v>174</v>
      </c>
      <c r="B51" s="0" t="s">
        <v>175</v>
      </c>
      <c r="C51" s="0" t="s">
        <v>98</v>
      </c>
      <c r="D51" s="0" t="s">
        <v>115</v>
      </c>
      <c r="E51" s="0" t="s">
        <v>78</v>
      </c>
      <c r="F51" s="14" t="n">
        <f aca="false">MIN(N51:AE51)</f>
        <v>17.14</v>
      </c>
      <c r="G51" s="14" t="n">
        <f aca="false">MAX(N51:AE51)</f>
        <v>20.57</v>
      </c>
      <c r="H51" s="15" t="n">
        <f aca="false">G51-F51</f>
        <v>3.43</v>
      </c>
      <c r="I51" s="8" t="n">
        <f aca="false">IFERROR((G51-F51)/F51,0)</f>
        <v>0.200116686114352</v>
      </c>
      <c r="J51" s="0" t="n">
        <v>2</v>
      </c>
      <c r="K51" s="0" t="n">
        <v>6</v>
      </c>
      <c r="L51" s="14" t="n">
        <v>20.57</v>
      </c>
      <c r="M51" s="14" t="n">
        <v>20.57</v>
      </c>
      <c r="N51" s="14" t="n">
        <v>20.57</v>
      </c>
      <c r="O51" s="14" t="n">
        <v>20.57</v>
      </c>
      <c r="S51" s="16" t="n">
        <v>17.14</v>
      </c>
      <c r="V51" s="14" t="n">
        <v>20.57</v>
      </c>
      <c r="Z51" s="14" t="n">
        <v>20.57</v>
      </c>
      <c r="AA51" s="14" t="n">
        <v>20.57</v>
      </c>
    </row>
    <row r="52" customFormat="false" ht="15" hidden="false" customHeight="false" outlineLevel="0" collapsed="false">
      <c r="A52" s="17" t="s">
        <v>176</v>
      </c>
      <c r="B52" s="17" t="s">
        <v>177</v>
      </c>
      <c r="C52" s="17" t="s">
        <v>98</v>
      </c>
      <c r="D52" s="17" t="s">
        <v>77</v>
      </c>
      <c r="E52" s="17" t="s">
        <v>78</v>
      </c>
      <c r="F52" s="18" t="n">
        <f aca="false">MIN(N52:AE52)</f>
        <v>9.93</v>
      </c>
      <c r="G52" s="18" t="n">
        <f aca="false">MAX(N52:AE52)</f>
        <v>11.33</v>
      </c>
      <c r="H52" s="19" t="n">
        <f aca="false">G52-F52</f>
        <v>1.4</v>
      </c>
      <c r="I52" s="20" t="n">
        <f aca="false">IFERROR((G52-F52)/F52,0)</f>
        <v>0.14098690835851</v>
      </c>
      <c r="J52" s="17" t="n">
        <v>2</v>
      </c>
      <c r="K52" s="17" t="n">
        <v>2</v>
      </c>
      <c r="L52" s="18" t="n">
        <v>9.93</v>
      </c>
      <c r="M52" s="18" t="n">
        <v>11.33</v>
      </c>
      <c r="N52" s="14" t="n">
        <v>9.93</v>
      </c>
      <c r="AE52" s="14" t="n">
        <v>11.33</v>
      </c>
    </row>
    <row r="53" customFormat="false" ht="15" hidden="false" customHeight="false" outlineLevel="0" collapsed="false">
      <c r="A53" s="0" t="s">
        <v>178</v>
      </c>
      <c r="B53" s="0" t="s">
        <v>179</v>
      </c>
      <c r="C53" s="0" t="s">
        <v>98</v>
      </c>
      <c r="D53" s="0" t="s">
        <v>115</v>
      </c>
      <c r="E53" s="0" t="s">
        <v>78</v>
      </c>
      <c r="F53" s="14" t="n">
        <f aca="false">MIN(N53:AE53)</f>
        <v>17.36</v>
      </c>
      <c r="G53" s="14" t="n">
        <f aca="false">MAX(N53:AE53)</f>
        <v>17.53</v>
      </c>
      <c r="H53" s="15" t="n">
        <f aca="false">G53-F53</f>
        <v>0.170000000000002</v>
      </c>
      <c r="I53" s="8" t="n">
        <f aca="false">IFERROR((G53-F53)/F53,0)</f>
        <v>0.0097926267281107</v>
      </c>
      <c r="J53" s="0" t="n">
        <v>2</v>
      </c>
      <c r="K53" s="0" t="n">
        <v>3</v>
      </c>
      <c r="L53" s="14" t="n">
        <v>17.36</v>
      </c>
      <c r="M53" s="14" t="n">
        <v>17.53</v>
      </c>
      <c r="O53" s="14" t="n">
        <v>17.36</v>
      </c>
      <c r="V53" s="14" t="n">
        <v>17.36</v>
      </c>
      <c r="AA53" s="14" t="n">
        <v>17.53</v>
      </c>
    </row>
    <row r="54" customFormat="false" ht="15" hidden="false" customHeight="false" outlineLevel="0" collapsed="false">
      <c r="A54" s="17" t="s">
        <v>180</v>
      </c>
      <c r="B54" s="17" t="s">
        <v>181</v>
      </c>
      <c r="C54" s="17" t="s">
        <v>182</v>
      </c>
      <c r="D54" s="17" t="s">
        <v>77</v>
      </c>
      <c r="E54" s="17" t="s">
        <v>78</v>
      </c>
      <c r="F54" s="18" t="n">
        <f aca="false">MIN(N54:AE54)</f>
        <v>8.64</v>
      </c>
      <c r="G54" s="18" t="n">
        <f aca="false">MAX(N54:AE54)</f>
        <v>8.65</v>
      </c>
      <c r="H54" s="19" t="n">
        <f aca="false">G54-F54</f>
        <v>0.00999999999999979</v>
      </c>
      <c r="I54" s="20" t="n">
        <f aca="false">IFERROR((G54-F54)/F54,0)</f>
        <v>0.00115740740740738</v>
      </c>
      <c r="J54" s="17" t="n">
        <v>2</v>
      </c>
      <c r="K54" s="17" t="n">
        <v>2</v>
      </c>
      <c r="L54" s="18" t="n">
        <v>8.64</v>
      </c>
      <c r="M54" s="18" t="n">
        <v>8.65</v>
      </c>
      <c r="T54" s="14" t="n">
        <v>8.64</v>
      </c>
      <c r="X54" s="14" t="n">
        <v>8.65</v>
      </c>
    </row>
    <row r="55" customFormat="false" ht="15" hidden="false" customHeight="false" outlineLevel="0" collapsed="false">
      <c r="A55" s="0" t="s">
        <v>183</v>
      </c>
      <c r="B55" s="0" t="s">
        <v>184</v>
      </c>
      <c r="C55" s="0" t="s">
        <v>185</v>
      </c>
      <c r="D55" s="0" t="s">
        <v>77</v>
      </c>
      <c r="E55" s="0" t="s">
        <v>78</v>
      </c>
      <c r="F55" s="14" t="n">
        <f aca="false">MIN(N55:AE55)</f>
        <v>11.64</v>
      </c>
      <c r="G55" s="14" t="n">
        <f aca="false">MAX(N55:AE55)</f>
        <v>11.79</v>
      </c>
      <c r="H55" s="15" t="n">
        <f aca="false">G55-F55</f>
        <v>0.149999999999999</v>
      </c>
      <c r="I55" s="8" t="n">
        <f aca="false">IFERROR((G55-F55)/F55,0)</f>
        <v>0.0128865979381442</v>
      </c>
      <c r="J55" s="0" t="n">
        <v>2</v>
      </c>
      <c r="K55" s="0" t="n">
        <v>5</v>
      </c>
      <c r="L55" s="14" t="n">
        <v>11.64</v>
      </c>
      <c r="M55" s="14" t="n">
        <v>11.79</v>
      </c>
      <c r="T55" s="14" t="n">
        <v>11.64</v>
      </c>
      <c r="U55" s="14" t="n">
        <v>11.64</v>
      </c>
      <c r="W55" s="14" t="n">
        <v>11.79</v>
      </c>
    </row>
    <row r="56" customFormat="false" ht="15" hidden="false" customHeight="false" outlineLevel="0" collapsed="false">
      <c r="A56" s="17" t="s">
        <v>186</v>
      </c>
      <c r="B56" s="17" t="s">
        <v>187</v>
      </c>
      <c r="C56" s="17" t="s">
        <v>188</v>
      </c>
      <c r="D56" s="17" t="s">
        <v>77</v>
      </c>
      <c r="E56" s="17" t="s">
        <v>78</v>
      </c>
      <c r="F56" s="18" t="n">
        <f aca="false">MIN(N56:AE56)</f>
        <v>5.23</v>
      </c>
      <c r="G56" s="18" t="n">
        <f aca="false">MAX(N56:AE56)</f>
        <v>6.26</v>
      </c>
      <c r="H56" s="19" t="n">
        <f aca="false">G56-F56</f>
        <v>1.03</v>
      </c>
      <c r="I56" s="20" t="n">
        <f aca="false">IFERROR((G56-F56)/F56,0)</f>
        <v>0.196940726577438</v>
      </c>
      <c r="J56" s="17" t="n">
        <v>2</v>
      </c>
      <c r="K56" s="17" t="n">
        <v>9</v>
      </c>
      <c r="L56" s="18" t="n">
        <v>5.23</v>
      </c>
      <c r="M56" s="18" t="n">
        <v>6.26</v>
      </c>
      <c r="N56" s="14" t="n">
        <v>5.23</v>
      </c>
      <c r="O56" s="14" t="n">
        <v>5.23</v>
      </c>
      <c r="S56" s="14" t="n">
        <v>5.23</v>
      </c>
      <c r="U56" s="14" t="n">
        <v>5.23</v>
      </c>
      <c r="V56" s="14" t="n">
        <v>5.23</v>
      </c>
      <c r="AA56" s="14" t="n">
        <v>5.23</v>
      </c>
      <c r="AB56" s="14" t="n">
        <v>5.23</v>
      </c>
      <c r="AD56" s="14" t="n">
        <v>6.26</v>
      </c>
      <c r="AE56" s="14" t="n">
        <v>6.26</v>
      </c>
    </row>
    <row r="57" customFormat="false" ht="15" hidden="false" customHeight="false" outlineLevel="0" collapsed="false">
      <c r="A57" s="0" t="s">
        <v>189</v>
      </c>
      <c r="B57" s="0" t="s">
        <v>190</v>
      </c>
      <c r="C57" s="0" t="s">
        <v>188</v>
      </c>
      <c r="D57" s="0" t="s">
        <v>77</v>
      </c>
      <c r="E57" s="0" t="s">
        <v>78</v>
      </c>
      <c r="F57" s="14" t="n">
        <f aca="false">MIN(N57:AE57)</f>
        <v>2.65</v>
      </c>
      <c r="G57" s="14" t="n">
        <f aca="false">MAX(N57:AE57)</f>
        <v>2.94</v>
      </c>
      <c r="H57" s="15" t="n">
        <f aca="false">G57-F57</f>
        <v>0.29</v>
      </c>
      <c r="I57" s="8" t="n">
        <f aca="false">IFERROR((G57-F57)/F57,0)</f>
        <v>0.109433962264151</v>
      </c>
      <c r="J57" s="0" t="n">
        <v>2</v>
      </c>
      <c r="K57" s="0" t="n">
        <v>6</v>
      </c>
      <c r="L57" s="14" t="n">
        <v>2.65</v>
      </c>
      <c r="M57" s="14" t="n">
        <v>2.94</v>
      </c>
      <c r="O57" s="14" t="n">
        <v>2.65</v>
      </c>
      <c r="S57" s="14" t="n">
        <v>2.65</v>
      </c>
      <c r="V57" s="14" t="n">
        <v>2.65</v>
      </c>
      <c r="Z57" s="14" t="n">
        <v>2.65</v>
      </c>
      <c r="AA57" s="14" t="n">
        <v>2.65</v>
      </c>
      <c r="AE57" s="14" t="n">
        <v>2.94</v>
      </c>
    </row>
    <row r="58" customFormat="false" ht="15" hidden="false" customHeight="false" outlineLevel="0" collapsed="false">
      <c r="A58" s="17" t="s">
        <v>191</v>
      </c>
      <c r="B58" s="17" t="s">
        <v>192</v>
      </c>
      <c r="C58" s="17" t="s">
        <v>81</v>
      </c>
      <c r="D58" s="17" t="s">
        <v>77</v>
      </c>
      <c r="E58" s="17" t="s">
        <v>78</v>
      </c>
      <c r="F58" s="18" t="n">
        <f aca="false">MIN(N58:AE58)</f>
        <v>15.97</v>
      </c>
      <c r="G58" s="18" t="n">
        <f aca="false">MAX(N58:AE58)</f>
        <v>16.97</v>
      </c>
      <c r="H58" s="19" t="n">
        <f aca="false">G58-F58</f>
        <v>0.999999999999998</v>
      </c>
      <c r="I58" s="20" t="n">
        <f aca="false">IFERROR((G58-F58)/F58,0)</f>
        <v>0.0626174076393236</v>
      </c>
      <c r="J58" s="17" t="n">
        <v>2</v>
      </c>
      <c r="K58" s="17" t="n">
        <v>2</v>
      </c>
      <c r="L58" s="18" t="n">
        <v>16.97</v>
      </c>
      <c r="M58" s="18" t="n">
        <v>15.97</v>
      </c>
      <c r="T58" s="14" t="n">
        <v>16.97</v>
      </c>
      <c r="W58" s="14" t="n">
        <v>15.97</v>
      </c>
    </row>
    <row r="59" customFormat="false" ht="15" hidden="false" customHeight="false" outlineLevel="0" collapsed="false">
      <c r="A59" s="0" t="s">
        <v>193</v>
      </c>
      <c r="B59" s="0" t="s">
        <v>194</v>
      </c>
      <c r="D59" s="0" t="s">
        <v>77</v>
      </c>
      <c r="E59" s="0" t="s">
        <v>78</v>
      </c>
      <c r="F59" s="14" t="n">
        <f aca="false">MIN(N59:AE59)</f>
        <v>13.95</v>
      </c>
      <c r="G59" s="14" t="n">
        <f aca="false">MAX(N59:AE59)</f>
        <v>14.2</v>
      </c>
      <c r="H59" s="15" t="n">
        <f aca="false">G59-F59</f>
        <v>0.25</v>
      </c>
      <c r="I59" s="8" t="n">
        <f aca="false">IFERROR((G59-F59)/F59,0)</f>
        <v>0.017921146953405</v>
      </c>
      <c r="J59" s="0" t="n">
        <v>2</v>
      </c>
      <c r="K59" s="0" t="n">
        <v>4</v>
      </c>
      <c r="L59" s="14" t="n">
        <v>13.95</v>
      </c>
      <c r="M59" s="14" t="n">
        <v>14.2</v>
      </c>
      <c r="N59" s="14" t="n">
        <v>13.95</v>
      </c>
      <c r="O59" s="14" t="n">
        <v>13.95</v>
      </c>
      <c r="Z59" s="14" t="n">
        <v>14.2</v>
      </c>
      <c r="AA59" s="14" t="n">
        <v>14.2</v>
      </c>
    </row>
    <row r="60" customFormat="false" ht="15" hidden="false" customHeight="false" outlineLevel="0" collapsed="false">
      <c r="A60" s="17" t="s">
        <v>195</v>
      </c>
      <c r="B60" s="17" t="s">
        <v>196</v>
      </c>
      <c r="C60" s="17"/>
      <c r="D60" s="17" t="s">
        <v>77</v>
      </c>
      <c r="E60" s="17" t="s">
        <v>78</v>
      </c>
      <c r="F60" s="18" t="n">
        <f aca="false">MIN(N60:AE60)</f>
        <v>16.49</v>
      </c>
      <c r="G60" s="18" t="n">
        <f aca="false">MAX(N60:AE60)</f>
        <v>16.58</v>
      </c>
      <c r="H60" s="19" t="n">
        <f aca="false">G60-F60</f>
        <v>0.0899999999999999</v>
      </c>
      <c r="I60" s="20" t="n">
        <f aca="false">IFERROR((G60-F60)/F60,0)</f>
        <v>0.00545785324439053</v>
      </c>
      <c r="J60" s="17" t="n">
        <v>2</v>
      </c>
      <c r="K60" s="17" t="n">
        <v>3</v>
      </c>
      <c r="L60" s="18" t="n">
        <v>16.49</v>
      </c>
      <c r="M60" s="18" t="n">
        <v>16.58</v>
      </c>
      <c r="N60" s="14" t="n">
        <v>16.49</v>
      </c>
      <c r="O60" s="14" t="n">
        <v>16.49</v>
      </c>
      <c r="AA60" s="14" t="n">
        <v>16.58</v>
      </c>
    </row>
    <row r="61" customFormat="false" ht="15" hidden="false" customHeight="false" outlineLevel="0" collapsed="false">
      <c r="A61" s="0" t="s">
        <v>197</v>
      </c>
      <c r="B61" s="0" t="s">
        <v>198</v>
      </c>
      <c r="C61" s="0" t="s">
        <v>199</v>
      </c>
      <c r="D61" s="0" t="s">
        <v>115</v>
      </c>
      <c r="E61" s="0" t="s">
        <v>78</v>
      </c>
      <c r="F61" s="14" t="n">
        <f aca="false">MIN(N61:AE61)</f>
        <v>1.32</v>
      </c>
      <c r="G61" s="14" t="n">
        <f aca="false">MAX(N61:AE61)</f>
        <v>1.32</v>
      </c>
      <c r="H61" s="15" t="n">
        <f aca="false">G61-F61</f>
        <v>0</v>
      </c>
      <c r="I61" s="8" t="n">
        <f aca="false">IFERROR((G61-F61)/F61,0)</f>
        <v>0</v>
      </c>
      <c r="J61" s="0" t="n">
        <v>1</v>
      </c>
      <c r="K61" s="0" t="n">
        <v>5</v>
      </c>
      <c r="L61" s="14" t="n">
        <v>1.32</v>
      </c>
      <c r="M61" s="14" t="n">
        <v>1.32</v>
      </c>
      <c r="O61" s="14" t="n">
        <v>1.32</v>
      </c>
      <c r="T61" s="14" t="n">
        <v>1.32</v>
      </c>
      <c r="U61" s="14" t="n">
        <v>1.32</v>
      </c>
      <c r="V61" s="14" t="n">
        <v>1.32</v>
      </c>
      <c r="AA61" s="14" t="n">
        <v>1.32</v>
      </c>
    </row>
    <row r="62" customFormat="false" ht="15" hidden="false" customHeight="false" outlineLevel="0" collapsed="false">
      <c r="A62" s="17" t="s">
        <v>200</v>
      </c>
      <c r="B62" s="17" t="s">
        <v>201</v>
      </c>
      <c r="C62" s="17" t="s">
        <v>160</v>
      </c>
      <c r="D62" s="17" t="s">
        <v>77</v>
      </c>
      <c r="E62" s="17" t="s">
        <v>78</v>
      </c>
      <c r="F62" s="18" t="n">
        <f aca="false">MIN(N62:AE62)</f>
        <v>23.94</v>
      </c>
      <c r="G62" s="18" t="n">
        <f aca="false">MAX(N62:AE62)</f>
        <v>23.94</v>
      </c>
      <c r="H62" s="19" t="n">
        <f aca="false">G62-F62</f>
        <v>0</v>
      </c>
      <c r="I62" s="20" t="n">
        <f aca="false">IFERROR((G62-F62)/F62,0)</f>
        <v>0</v>
      </c>
      <c r="J62" s="17" t="n">
        <v>1</v>
      </c>
      <c r="K62" s="17" t="n">
        <v>1</v>
      </c>
      <c r="L62" s="18" t="n">
        <v>23.94</v>
      </c>
      <c r="M62" s="18" t="n">
        <v>23.94</v>
      </c>
      <c r="S62" s="14" t="n">
        <v>23.94</v>
      </c>
    </row>
    <row r="63" customFormat="false" ht="15" hidden="false" customHeight="false" outlineLevel="0" collapsed="false">
      <c r="A63" s="0" t="s">
        <v>202</v>
      </c>
      <c r="B63" s="0" t="s">
        <v>203</v>
      </c>
      <c r="C63" s="0" t="s">
        <v>160</v>
      </c>
      <c r="D63" s="0" t="s">
        <v>77</v>
      </c>
      <c r="E63" s="0" t="s">
        <v>78</v>
      </c>
      <c r="F63" s="14" t="n">
        <f aca="false">MIN(N63:AE63)</f>
        <v>15.35</v>
      </c>
      <c r="G63" s="14" t="n">
        <f aca="false">MAX(N63:AE63)</f>
        <v>15.35</v>
      </c>
      <c r="H63" s="15" t="n">
        <f aca="false">G63-F63</f>
        <v>0</v>
      </c>
      <c r="I63" s="8" t="n">
        <f aca="false">IFERROR((G63-F63)/F63,0)</f>
        <v>0</v>
      </c>
      <c r="J63" s="0" t="n">
        <v>1</v>
      </c>
      <c r="K63" s="0" t="n">
        <v>1</v>
      </c>
      <c r="L63" s="14" t="n">
        <v>15.35</v>
      </c>
      <c r="M63" s="14" t="n">
        <v>15.35</v>
      </c>
      <c r="O63" s="14" t="n">
        <v>15.35</v>
      </c>
    </row>
    <row r="64" customFormat="false" ht="15" hidden="false" customHeight="false" outlineLevel="0" collapsed="false">
      <c r="A64" s="17" t="s">
        <v>204</v>
      </c>
      <c r="B64" s="17" t="s">
        <v>205</v>
      </c>
      <c r="C64" s="17" t="s">
        <v>160</v>
      </c>
      <c r="D64" s="17" t="s">
        <v>77</v>
      </c>
      <c r="E64" s="17" t="s">
        <v>78</v>
      </c>
      <c r="F64" s="18" t="n">
        <f aca="false">MIN(N64:AE64)</f>
        <v>7.9</v>
      </c>
      <c r="G64" s="18" t="n">
        <f aca="false">MAX(N64:AE64)</f>
        <v>7.9</v>
      </c>
      <c r="H64" s="19" t="n">
        <f aca="false">G64-F64</f>
        <v>0</v>
      </c>
      <c r="I64" s="20" t="n">
        <f aca="false">IFERROR((G64-F64)/F64,0)</f>
        <v>0</v>
      </c>
      <c r="J64" s="17" t="n">
        <v>1</v>
      </c>
      <c r="K64" s="17" t="n">
        <v>1</v>
      </c>
      <c r="L64" s="18" t="n">
        <v>7.9</v>
      </c>
      <c r="M64" s="18" t="n">
        <v>7.9</v>
      </c>
      <c r="U64" s="14" t="n">
        <v>7.9</v>
      </c>
    </row>
    <row r="65" customFormat="false" ht="15" hidden="false" customHeight="false" outlineLevel="0" collapsed="false">
      <c r="A65" s="0" t="s">
        <v>206</v>
      </c>
      <c r="B65" s="0" t="s">
        <v>207</v>
      </c>
      <c r="C65" s="0" t="s">
        <v>169</v>
      </c>
      <c r="D65" s="0" t="s">
        <v>115</v>
      </c>
      <c r="E65" s="0" t="s">
        <v>78</v>
      </c>
      <c r="F65" s="14" t="n">
        <f aca="false">MIN(N65:AE65)</f>
        <v>6.69</v>
      </c>
      <c r="G65" s="14" t="n">
        <f aca="false">MAX(N65:AE65)</f>
        <v>6.69</v>
      </c>
      <c r="H65" s="15" t="n">
        <f aca="false">G65-F65</f>
        <v>0</v>
      </c>
      <c r="I65" s="8" t="n">
        <f aca="false">IFERROR((G65-F65)/F65,0)</f>
        <v>0</v>
      </c>
      <c r="J65" s="0" t="n">
        <v>1</v>
      </c>
      <c r="K65" s="0" t="n">
        <v>4</v>
      </c>
      <c r="L65" s="14" t="n">
        <v>6.69</v>
      </c>
      <c r="M65" s="14" t="n">
        <v>6.69</v>
      </c>
      <c r="N65" s="14" t="n">
        <v>6.69</v>
      </c>
      <c r="O65" s="14" t="n">
        <v>6.69</v>
      </c>
      <c r="P65" s="14" t="n">
        <v>6.69</v>
      </c>
      <c r="V65" s="14" t="n">
        <v>6.69</v>
      </c>
    </row>
    <row r="66" customFormat="false" ht="15" hidden="false" customHeight="false" outlineLevel="0" collapsed="false">
      <c r="A66" s="17" t="s">
        <v>208</v>
      </c>
      <c r="B66" s="17" t="s">
        <v>209</v>
      </c>
      <c r="C66" s="17" t="s">
        <v>160</v>
      </c>
      <c r="D66" s="17" t="s">
        <v>77</v>
      </c>
      <c r="E66" s="17" t="s">
        <v>78</v>
      </c>
      <c r="F66" s="18" t="n">
        <f aca="false">MIN(N66:AE66)</f>
        <v>10.65</v>
      </c>
      <c r="G66" s="18" t="n">
        <f aca="false">MAX(N66:AE66)</f>
        <v>10.65</v>
      </c>
      <c r="H66" s="19" t="n">
        <f aca="false">G66-F66</f>
        <v>0</v>
      </c>
      <c r="I66" s="20" t="n">
        <f aca="false">IFERROR((G66-F66)/F66,0)</f>
        <v>0</v>
      </c>
      <c r="J66" s="17" t="n">
        <v>1</v>
      </c>
      <c r="K66" s="17" t="n">
        <v>2</v>
      </c>
      <c r="L66" s="18" t="n">
        <v>10.65</v>
      </c>
      <c r="M66" s="18" t="n">
        <v>10.65</v>
      </c>
      <c r="N66" s="14" t="n">
        <v>10.65</v>
      </c>
      <c r="Z66" s="14" t="n">
        <v>10.65</v>
      </c>
    </row>
    <row r="67" customFormat="false" ht="15" hidden="false" customHeight="false" outlineLevel="0" collapsed="false">
      <c r="A67" s="0" t="s">
        <v>210</v>
      </c>
      <c r="B67" s="0" t="s">
        <v>211</v>
      </c>
      <c r="C67" s="0" t="s">
        <v>160</v>
      </c>
      <c r="D67" s="0" t="s">
        <v>77</v>
      </c>
      <c r="E67" s="0" t="s">
        <v>78</v>
      </c>
      <c r="F67" s="14" t="n">
        <f aca="false">MIN(N67:AE67)</f>
        <v>12.87</v>
      </c>
      <c r="G67" s="14" t="n">
        <f aca="false">MAX(N67:AE67)</f>
        <v>12.87</v>
      </c>
      <c r="H67" s="15" t="n">
        <f aca="false">G67-F67</f>
        <v>0</v>
      </c>
      <c r="I67" s="8" t="n">
        <f aca="false">IFERROR((G67-F67)/F67,0)</f>
        <v>0</v>
      </c>
      <c r="J67" s="0" t="n">
        <v>1</v>
      </c>
      <c r="K67" s="0" t="n">
        <v>1</v>
      </c>
      <c r="L67" s="14" t="n">
        <v>12.87</v>
      </c>
      <c r="M67" s="14" t="n">
        <v>12.87</v>
      </c>
      <c r="AA67" s="14" t="n">
        <v>12.87</v>
      </c>
    </row>
    <row r="68" customFormat="false" ht="15" hidden="false" customHeight="false" outlineLevel="0" collapsed="false">
      <c r="A68" s="17" t="s">
        <v>212</v>
      </c>
      <c r="B68" s="17" t="s">
        <v>213</v>
      </c>
      <c r="C68" s="17" t="s">
        <v>214</v>
      </c>
      <c r="D68" s="17" t="s">
        <v>115</v>
      </c>
      <c r="E68" s="17" t="s">
        <v>78</v>
      </c>
      <c r="F68" s="18" t="n">
        <f aca="false">MIN(N68:AE68)</f>
        <v>2.36</v>
      </c>
      <c r="G68" s="18" t="n">
        <f aca="false">MAX(N68:AE68)</f>
        <v>2.36</v>
      </c>
      <c r="H68" s="19" t="n">
        <f aca="false">G68-F68</f>
        <v>0</v>
      </c>
      <c r="I68" s="20" t="n">
        <f aca="false">IFERROR((G68-F68)/F68,0)</f>
        <v>0</v>
      </c>
      <c r="J68" s="17" t="n">
        <v>1</v>
      </c>
      <c r="K68" s="17" t="n">
        <v>1</v>
      </c>
      <c r="L68" s="18" t="n">
        <v>2.36</v>
      </c>
      <c r="M68" s="18" t="n">
        <v>2.36</v>
      </c>
      <c r="AC68" s="14" t="n">
        <v>2.36</v>
      </c>
    </row>
    <row r="69" customFormat="false" ht="15" hidden="false" customHeight="false" outlineLevel="0" collapsed="false">
      <c r="A69" s="0" t="s">
        <v>215</v>
      </c>
      <c r="B69" s="0" t="s">
        <v>216</v>
      </c>
      <c r="C69" s="0" t="s">
        <v>217</v>
      </c>
      <c r="D69" s="0" t="s">
        <v>115</v>
      </c>
      <c r="E69" s="0" t="s">
        <v>78</v>
      </c>
      <c r="F69" s="14" t="n">
        <f aca="false">MIN(N69:AE69)</f>
        <v>2.92</v>
      </c>
      <c r="G69" s="14" t="n">
        <f aca="false">MAX(N69:AE69)</f>
        <v>2.92</v>
      </c>
      <c r="H69" s="15" t="n">
        <f aca="false">G69-F69</f>
        <v>0</v>
      </c>
      <c r="I69" s="8" t="n">
        <f aca="false">IFERROR((G69-F69)/F69,0)</f>
        <v>0</v>
      </c>
      <c r="J69" s="0" t="n">
        <v>1</v>
      </c>
      <c r="K69" s="0" t="n">
        <v>2</v>
      </c>
      <c r="L69" s="14" t="n">
        <v>2.92</v>
      </c>
      <c r="M69" s="14" t="n">
        <v>2.92</v>
      </c>
      <c r="O69" s="14" t="n">
        <v>2.92</v>
      </c>
      <c r="AC69" s="14" t="n">
        <v>2.92</v>
      </c>
    </row>
    <row r="70" customFormat="false" ht="15" hidden="false" customHeight="false" outlineLevel="0" collapsed="false">
      <c r="A70" s="17" t="s">
        <v>218</v>
      </c>
      <c r="B70" s="17" t="s">
        <v>219</v>
      </c>
      <c r="C70" s="17" t="s">
        <v>98</v>
      </c>
      <c r="D70" s="17" t="s">
        <v>115</v>
      </c>
      <c r="E70" s="17" t="s">
        <v>78</v>
      </c>
      <c r="F70" s="18" t="n">
        <f aca="false">MIN(N70:AE70)</f>
        <v>7.21</v>
      </c>
      <c r="G70" s="18" t="n">
        <f aca="false">MAX(N70:AE70)</f>
        <v>7.21</v>
      </c>
      <c r="H70" s="19" t="n">
        <f aca="false">G70-F70</f>
        <v>0</v>
      </c>
      <c r="I70" s="20" t="n">
        <f aca="false">IFERROR((G70-F70)/F70,0)</f>
        <v>0</v>
      </c>
      <c r="J70" s="17" t="n">
        <v>1</v>
      </c>
      <c r="K70" s="17" t="n">
        <v>1</v>
      </c>
      <c r="L70" s="18" t="n">
        <v>7.21</v>
      </c>
      <c r="M70" s="18" t="n">
        <v>7.21</v>
      </c>
      <c r="P70" s="14" t="n">
        <v>7.21</v>
      </c>
    </row>
    <row r="71" customFormat="false" ht="15" hidden="false" customHeight="false" outlineLevel="0" collapsed="false">
      <c r="A71" s="0" t="s">
        <v>220</v>
      </c>
      <c r="B71" s="0" t="s">
        <v>221</v>
      </c>
      <c r="C71" s="0" t="s">
        <v>98</v>
      </c>
      <c r="D71" s="0" t="s">
        <v>115</v>
      </c>
      <c r="E71" s="0" t="s">
        <v>78</v>
      </c>
      <c r="F71" s="14" t="n">
        <f aca="false">MIN(N71:AE71)</f>
        <v>17.72</v>
      </c>
      <c r="G71" s="14" t="n">
        <f aca="false">MAX(N71:AE71)</f>
        <v>17.72</v>
      </c>
      <c r="H71" s="15" t="n">
        <f aca="false">G71-F71</f>
        <v>0</v>
      </c>
      <c r="I71" s="8" t="n">
        <f aca="false">IFERROR((G71-F71)/F71,0)</f>
        <v>0</v>
      </c>
      <c r="J71" s="0" t="n">
        <v>1</v>
      </c>
      <c r="K71" s="0" t="n">
        <v>3</v>
      </c>
      <c r="L71" s="14" t="n">
        <v>17.72</v>
      </c>
      <c r="M71" s="14" t="n">
        <v>17.72</v>
      </c>
      <c r="N71" s="14" t="n">
        <v>17.72</v>
      </c>
      <c r="V71" s="14" t="n">
        <v>17.72</v>
      </c>
      <c r="Z71" s="14" t="n">
        <v>17.72</v>
      </c>
    </row>
    <row r="72" customFormat="false" ht="15" hidden="false" customHeight="false" outlineLevel="0" collapsed="false">
      <c r="A72" s="17" t="s">
        <v>222</v>
      </c>
      <c r="B72" s="17" t="s">
        <v>223</v>
      </c>
      <c r="C72" s="17" t="s">
        <v>98</v>
      </c>
      <c r="D72" s="17" t="s">
        <v>115</v>
      </c>
      <c r="E72" s="17" t="s">
        <v>78</v>
      </c>
      <c r="F72" s="18" t="n">
        <f aca="false">MIN(N72:AE72)</f>
        <v>25.73</v>
      </c>
      <c r="G72" s="18" t="n">
        <f aca="false">MAX(N72:AE72)</f>
        <v>25.73</v>
      </c>
      <c r="H72" s="19" t="n">
        <f aca="false">G72-F72</f>
        <v>0</v>
      </c>
      <c r="I72" s="20" t="n">
        <f aca="false">IFERROR((G72-F72)/F72,0)</f>
        <v>0</v>
      </c>
      <c r="J72" s="17" t="n">
        <v>1</v>
      </c>
      <c r="K72" s="17" t="n">
        <v>2</v>
      </c>
      <c r="L72" s="18" t="n">
        <v>25.73</v>
      </c>
      <c r="M72" s="18" t="n">
        <v>25.73</v>
      </c>
      <c r="AA72" s="14" t="n">
        <v>25.73</v>
      </c>
      <c r="AB72" s="14" t="n">
        <v>25.73</v>
      </c>
    </row>
    <row r="73" customFormat="false" ht="15" hidden="false" customHeight="false" outlineLevel="0" collapsed="false">
      <c r="A73" s="0" t="s">
        <v>224</v>
      </c>
      <c r="B73" s="0" t="s">
        <v>225</v>
      </c>
      <c r="C73" s="0" t="s">
        <v>98</v>
      </c>
      <c r="D73" s="0" t="s">
        <v>115</v>
      </c>
      <c r="E73" s="0" t="s">
        <v>78</v>
      </c>
      <c r="F73" s="14" t="n">
        <f aca="false">MIN(N73:AE73)</f>
        <v>13.81</v>
      </c>
      <c r="G73" s="14" t="n">
        <f aca="false">MAX(N73:AE73)</f>
        <v>13.81</v>
      </c>
      <c r="H73" s="15" t="n">
        <f aca="false">G73-F73</f>
        <v>0</v>
      </c>
      <c r="I73" s="8" t="n">
        <f aca="false">IFERROR((G73-F73)/F73,0)</f>
        <v>0</v>
      </c>
      <c r="J73" s="0" t="n">
        <v>1</v>
      </c>
      <c r="K73" s="0" t="n">
        <v>1</v>
      </c>
      <c r="L73" s="14" t="n">
        <v>13.81</v>
      </c>
      <c r="M73" s="14" t="n">
        <v>13.81</v>
      </c>
      <c r="Z73" s="16" t="n">
        <v>13.81</v>
      </c>
    </row>
    <row r="74" customFormat="false" ht="15" hidden="false" customHeight="false" outlineLevel="0" collapsed="false">
      <c r="A74" s="17" t="s">
        <v>226</v>
      </c>
      <c r="B74" s="17" t="s">
        <v>227</v>
      </c>
      <c r="C74" s="17" t="s">
        <v>98</v>
      </c>
      <c r="D74" s="17" t="s">
        <v>77</v>
      </c>
      <c r="E74" s="17" t="s">
        <v>78</v>
      </c>
      <c r="F74" s="18" t="n">
        <f aca="false">MIN(N74:AE74)</f>
        <v>4.3</v>
      </c>
      <c r="G74" s="18" t="n">
        <f aca="false">MAX(N74:AE74)</f>
        <v>4.3</v>
      </c>
      <c r="H74" s="19" t="n">
        <f aca="false">G74-F74</f>
        <v>0</v>
      </c>
      <c r="I74" s="20" t="n">
        <f aca="false">IFERROR((G74-F74)/F74,0)</f>
        <v>0</v>
      </c>
      <c r="J74" s="17" t="n">
        <v>1</v>
      </c>
      <c r="K74" s="17" t="n">
        <v>2</v>
      </c>
      <c r="L74" s="18" t="n">
        <v>4.3</v>
      </c>
      <c r="M74" s="18" t="n">
        <v>4.3</v>
      </c>
      <c r="N74" s="14" t="n">
        <v>4.3</v>
      </c>
      <c r="O74" s="14" t="n">
        <v>4.3</v>
      </c>
    </row>
    <row r="75" customFormat="false" ht="15" hidden="false" customHeight="false" outlineLevel="0" collapsed="false">
      <c r="A75" s="0" t="s">
        <v>228</v>
      </c>
      <c r="B75" s="0" t="s">
        <v>229</v>
      </c>
      <c r="C75" s="0" t="s">
        <v>98</v>
      </c>
      <c r="D75" s="0" t="s">
        <v>115</v>
      </c>
      <c r="E75" s="0" t="s">
        <v>78</v>
      </c>
      <c r="F75" s="14" t="n">
        <f aca="false">MIN(N75:AE75)</f>
        <v>35.33</v>
      </c>
      <c r="G75" s="14" t="n">
        <f aca="false">MAX(N75:AE75)</f>
        <v>35.33</v>
      </c>
      <c r="H75" s="15" t="n">
        <f aca="false">G75-F75</f>
        <v>0</v>
      </c>
      <c r="I75" s="8" t="n">
        <f aca="false">IFERROR((G75-F75)/F75,0)</f>
        <v>0</v>
      </c>
      <c r="J75" s="0" t="n">
        <v>1</v>
      </c>
      <c r="K75" s="0" t="n">
        <v>1</v>
      </c>
      <c r="L75" s="14" t="n">
        <v>35.33</v>
      </c>
      <c r="M75" s="14" t="n">
        <v>35.33</v>
      </c>
      <c r="Z75" s="14" t="n">
        <v>35.33</v>
      </c>
    </row>
    <row r="76" customFormat="false" ht="15" hidden="false" customHeight="false" outlineLevel="0" collapsed="false">
      <c r="A76" s="17" t="s">
        <v>230</v>
      </c>
      <c r="B76" s="17" t="s">
        <v>231</v>
      </c>
      <c r="C76" s="17" t="s">
        <v>98</v>
      </c>
      <c r="D76" s="17" t="s">
        <v>77</v>
      </c>
      <c r="E76" s="17" t="s">
        <v>78</v>
      </c>
      <c r="F76" s="18" t="n">
        <f aca="false">MIN(N76:AE76)</f>
        <v>3.79</v>
      </c>
      <c r="G76" s="18" t="n">
        <f aca="false">MAX(N76:AE76)</f>
        <v>3.79</v>
      </c>
      <c r="H76" s="19" t="n">
        <f aca="false">G76-F76</f>
        <v>0</v>
      </c>
      <c r="I76" s="20" t="n">
        <f aca="false">IFERROR((G76-F76)/F76,0)</f>
        <v>0</v>
      </c>
      <c r="J76" s="17" t="n">
        <v>1</v>
      </c>
      <c r="K76" s="17" t="n">
        <v>1</v>
      </c>
      <c r="L76" s="18" t="n">
        <v>3.79</v>
      </c>
      <c r="M76" s="18" t="n">
        <v>3.79</v>
      </c>
      <c r="T76" s="14" t="n">
        <v>3.79</v>
      </c>
    </row>
    <row r="77" customFormat="false" ht="15" hidden="false" customHeight="false" outlineLevel="0" collapsed="false">
      <c r="A77" s="0" t="s">
        <v>232</v>
      </c>
      <c r="B77" s="0" t="s">
        <v>233</v>
      </c>
      <c r="C77" s="0" t="s">
        <v>98</v>
      </c>
      <c r="D77" s="0" t="s">
        <v>77</v>
      </c>
      <c r="E77" s="0" t="s">
        <v>78</v>
      </c>
      <c r="F77" s="14" t="n">
        <f aca="false">MIN(N77:AE77)</f>
        <v>7.2</v>
      </c>
      <c r="G77" s="14" t="n">
        <f aca="false">MAX(N77:AE77)</f>
        <v>7.2</v>
      </c>
      <c r="H77" s="15" t="n">
        <f aca="false">G77-F77</f>
        <v>0</v>
      </c>
      <c r="I77" s="8" t="n">
        <f aca="false">IFERROR((G77-F77)/F77,0)</f>
        <v>0</v>
      </c>
      <c r="J77" s="0" t="n">
        <v>1</v>
      </c>
      <c r="K77" s="0" t="n">
        <v>1</v>
      </c>
      <c r="L77" s="14" t="n">
        <v>7.2</v>
      </c>
      <c r="M77" s="14" t="n">
        <v>7.2</v>
      </c>
      <c r="T77" s="14" t="n">
        <v>7.2</v>
      </c>
    </row>
    <row r="78" customFormat="false" ht="15" hidden="false" customHeight="false" outlineLevel="0" collapsed="false">
      <c r="A78" s="17" t="s">
        <v>234</v>
      </c>
      <c r="B78" s="17" t="s">
        <v>235</v>
      </c>
      <c r="C78" s="17" t="s">
        <v>98</v>
      </c>
      <c r="D78" s="17" t="s">
        <v>77</v>
      </c>
      <c r="E78" s="17" t="s">
        <v>78</v>
      </c>
      <c r="F78" s="18" t="n">
        <f aca="false">MIN(N78:AE78)</f>
        <v>4.23</v>
      </c>
      <c r="G78" s="18" t="n">
        <f aca="false">MAX(N78:AE78)</f>
        <v>4.23</v>
      </c>
      <c r="H78" s="19" t="n">
        <f aca="false">G78-F78</f>
        <v>0</v>
      </c>
      <c r="I78" s="20" t="n">
        <f aca="false">IFERROR((G78-F78)/F78,0)</f>
        <v>0</v>
      </c>
      <c r="J78" s="17" t="n">
        <v>1</v>
      </c>
      <c r="K78" s="17" t="n">
        <v>1</v>
      </c>
      <c r="L78" s="18" t="n">
        <v>4.23</v>
      </c>
      <c r="M78" s="18" t="n">
        <v>4.23</v>
      </c>
      <c r="T78" s="14" t="n">
        <v>4.23</v>
      </c>
    </row>
    <row r="79" customFormat="false" ht="15" hidden="false" customHeight="false" outlineLevel="0" collapsed="false">
      <c r="A79" s="0" t="s">
        <v>236</v>
      </c>
      <c r="B79" s="0" t="s">
        <v>237</v>
      </c>
      <c r="C79" s="0" t="s">
        <v>98</v>
      </c>
      <c r="D79" s="0" t="s">
        <v>77</v>
      </c>
      <c r="E79" s="0" t="s">
        <v>78</v>
      </c>
      <c r="F79" s="14" t="n">
        <f aca="false">MIN(N79:AE79)</f>
        <v>10.33</v>
      </c>
      <c r="G79" s="14" t="n">
        <f aca="false">MAX(N79:AE79)</f>
        <v>10.33</v>
      </c>
      <c r="H79" s="15" t="n">
        <f aca="false">G79-F79</f>
        <v>0</v>
      </c>
      <c r="I79" s="8" t="n">
        <f aca="false">IFERROR((G79-F79)/F79,0)</f>
        <v>0</v>
      </c>
      <c r="J79" s="0" t="n">
        <v>1</v>
      </c>
      <c r="K79" s="0" t="n">
        <v>1</v>
      </c>
      <c r="L79" s="14" t="n">
        <v>10.33</v>
      </c>
      <c r="M79" s="14" t="n">
        <v>10.33</v>
      </c>
      <c r="T79" s="14" t="n">
        <v>10.33</v>
      </c>
    </row>
    <row r="80" customFormat="false" ht="15" hidden="false" customHeight="false" outlineLevel="0" collapsed="false">
      <c r="A80" s="17" t="s">
        <v>238</v>
      </c>
      <c r="B80" s="17" t="s">
        <v>239</v>
      </c>
      <c r="C80" s="17" t="s">
        <v>98</v>
      </c>
      <c r="D80" s="17" t="s">
        <v>77</v>
      </c>
      <c r="E80" s="17" t="s">
        <v>78</v>
      </c>
      <c r="F80" s="18" t="n">
        <f aca="false">MIN(N80:AE80)</f>
        <v>11.28</v>
      </c>
      <c r="G80" s="18" t="n">
        <f aca="false">MAX(N80:AE80)</f>
        <v>11.28</v>
      </c>
      <c r="H80" s="19" t="n">
        <f aca="false">G80-F80</f>
        <v>0</v>
      </c>
      <c r="I80" s="20" t="n">
        <f aca="false">IFERROR((G80-F80)/F80,0)</f>
        <v>0</v>
      </c>
      <c r="J80" s="17" t="n">
        <v>1</v>
      </c>
      <c r="K80" s="17" t="n">
        <v>1</v>
      </c>
      <c r="L80" s="18" t="n">
        <v>11.28</v>
      </c>
      <c r="M80" s="18" t="n">
        <v>11.28</v>
      </c>
      <c r="T80" s="14" t="n">
        <v>11.28</v>
      </c>
    </row>
    <row r="81" customFormat="false" ht="15" hidden="false" customHeight="false" outlineLevel="0" collapsed="false">
      <c r="A81" s="0" t="s">
        <v>240</v>
      </c>
      <c r="B81" s="0" t="s">
        <v>241</v>
      </c>
      <c r="C81" s="0" t="s">
        <v>98</v>
      </c>
      <c r="D81" s="0" t="s">
        <v>77</v>
      </c>
      <c r="E81" s="0" t="s">
        <v>78</v>
      </c>
      <c r="F81" s="14" t="n">
        <f aca="false">MIN(N81:AE81)</f>
        <v>3.99</v>
      </c>
      <c r="G81" s="14" t="n">
        <f aca="false">MAX(N81:AE81)</f>
        <v>3.99</v>
      </c>
      <c r="H81" s="15" t="n">
        <f aca="false">G81-F81</f>
        <v>0</v>
      </c>
      <c r="I81" s="8" t="n">
        <f aca="false">IFERROR((G81-F81)/F81,0)</f>
        <v>0</v>
      </c>
      <c r="J81" s="0" t="n">
        <v>1</v>
      </c>
      <c r="K81" s="0" t="n">
        <v>1</v>
      </c>
      <c r="L81" s="14" t="n">
        <v>3.99</v>
      </c>
      <c r="M81" s="14" t="n">
        <v>3.99</v>
      </c>
      <c r="T81" s="14" t="n">
        <v>3.99</v>
      </c>
    </row>
    <row r="82" customFormat="false" ht="15" hidden="false" customHeight="false" outlineLevel="0" collapsed="false">
      <c r="A82" s="17" t="s">
        <v>242</v>
      </c>
      <c r="B82" s="17" t="s">
        <v>243</v>
      </c>
      <c r="C82" s="17" t="s">
        <v>98</v>
      </c>
      <c r="D82" s="17" t="s">
        <v>115</v>
      </c>
      <c r="E82" s="17" t="s">
        <v>78</v>
      </c>
      <c r="F82" s="18" t="n">
        <f aca="false">MIN(N82:AE82)</f>
        <v>7.5</v>
      </c>
      <c r="G82" s="18" t="n">
        <f aca="false">MAX(N82:AE82)</f>
        <v>7.5</v>
      </c>
      <c r="H82" s="19" t="n">
        <f aca="false">G82-F82</f>
        <v>0</v>
      </c>
      <c r="I82" s="20" t="n">
        <f aca="false">IFERROR((G82-F82)/F82,0)</f>
        <v>0</v>
      </c>
      <c r="J82" s="17" t="n">
        <v>1</v>
      </c>
      <c r="K82" s="17" t="n">
        <v>2</v>
      </c>
      <c r="L82" s="18" t="n">
        <v>7.5</v>
      </c>
      <c r="M82" s="18" t="n">
        <v>7.5</v>
      </c>
      <c r="O82" s="14" t="n">
        <v>7.5</v>
      </c>
      <c r="S82" s="14" t="n">
        <v>7.5</v>
      </c>
    </row>
    <row r="83" customFormat="false" ht="15" hidden="false" customHeight="false" outlineLevel="0" collapsed="false">
      <c r="A83" s="0" t="s">
        <v>244</v>
      </c>
      <c r="B83" s="0" t="s">
        <v>245</v>
      </c>
      <c r="C83" s="0" t="s">
        <v>98</v>
      </c>
      <c r="D83" s="0" t="s">
        <v>115</v>
      </c>
      <c r="E83" s="0" t="s">
        <v>78</v>
      </c>
      <c r="F83" s="14" t="n">
        <f aca="false">MIN(N83:AE83)</f>
        <v>2.32</v>
      </c>
      <c r="G83" s="14" t="n">
        <f aca="false">MAX(N83:AE83)</f>
        <v>2.32</v>
      </c>
      <c r="H83" s="15" t="n">
        <f aca="false">G83-F83</f>
        <v>0</v>
      </c>
      <c r="I83" s="8" t="n">
        <f aca="false">IFERROR((G83-F83)/F83,0)</f>
        <v>0</v>
      </c>
      <c r="J83" s="0" t="n">
        <v>1</v>
      </c>
      <c r="K83" s="0" t="n">
        <v>1</v>
      </c>
      <c r="L83" s="14" t="n">
        <v>2.32</v>
      </c>
      <c r="M83" s="14" t="n">
        <v>2.32</v>
      </c>
      <c r="P83" s="14" t="n">
        <v>2.32</v>
      </c>
    </row>
    <row r="84" customFormat="false" ht="15" hidden="false" customHeight="false" outlineLevel="0" collapsed="false">
      <c r="A84" s="17" t="s">
        <v>246</v>
      </c>
      <c r="B84" s="17" t="s">
        <v>247</v>
      </c>
      <c r="C84" s="17" t="s">
        <v>98</v>
      </c>
      <c r="D84" s="17" t="s">
        <v>115</v>
      </c>
      <c r="E84" s="17" t="s">
        <v>78</v>
      </c>
      <c r="F84" s="18" t="n">
        <f aca="false">MIN(N84:AE84)</f>
        <v>8.84</v>
      </c>
      <c r="G84" s="18" t="n">
        <f aca="false">MAX(N84:AE84)</f>
        <v>8.84</v>
      </c>
      <c r="H84" s="19" t="n">
        <f aca="false">G84-F84</f>
        <v>0</v>
      </c>
      <c r="I84" s="20" t="n">
        <f aca="false">IFERROR((G84-F84)/F84,0)</f>
        <v>0</v>
      </c>
      <c r="J84" s="17" t="n">
        <v>1</v>
      </c>
      <c r="K84" s="17" t="n">
        <v>1</v>
      </c>
      <c r="L84" s="18" t="n">
        <v>8.84</v>
      </c>
      <c r="M84" s="18" t="n">
        <v>8.84</v>
      </c>
      <c r="P84" s="14" t="n">
        <v>8.84</v>
      </c>
    </row>
    <row r="85" customFormat="false" ht="15" hidden="false" customHeight="false" outlineLevel="0" collapsed="false">
      <c r="A85" s="0" t="s">
        <v>248</v>
      </c>
      <c r="B85" s="0" t="s">
        <v>249</v>
      </c>
      <c r="C85" s="0" t="s">
        <v>98</v>
      </c>
      <c r="D85" s="0" t="s">
        <v>115</v>
      </c>
      <c r="E85" s="0" t="s">
        <v>78</v>
      </c>
      <c r="F85" s="14" t="n">
        <f aca="false">MIN(N85:AE85)</f>
        <v>8.84</v>
      </c>
      <c r="G85" s="14" t="n">
        <f aca="false">MAX(N85:AE85)</f>
        <v>8.84</v>
      </c>
      <c r="H85" s="15" t="n">
        <f aca="false">G85-F85</f>
        <v>0</v>
      </c>
      <c r="I85" s="8" t="n">
        <f aca="false">IFERROR((G85-F85)/F85,0)</f>
        <v>0</v>
      </c>
      <c r="J85" s="0" t="n">
        <v>1</v>
      </c>
      <c r="K85" s="0" t="n">
        <v>1</v>
      </c>
      <c r="L85" s="14" t="n">
        <v>8.84</v>
      </c>
      <c r="M85" s="14" t="n">
        <v>8.84</v>
      </c>
      <c r="P85" s="14" t="n">
        <v>8.84</v>
      </c>
    </row>
    <row r="86" customFormat="false" ht="15" hidden="false" customHeight="false" outlineLevel="0" collapsed="false">
      <c r="A86" s="17" t="s">
        <v>250</v>
      </c>
      <c r="B86" s="17" t="s">
        <v>251</v>
      </c>
      <c r="C86" s="17" t="s">
        <v>98</v>
      </c>
      <c r="D86" s="17" t="s">
        <v>115</v>
      </c>
      <c r="E86" s="17" t="s">
        <v>78</v>
      </c>
      <c r="F86" s="18" t="n">
        <f aca="false">MIN(N86:AE86)</f>
        <v>7.34</v>
      </c>
      <c r="G86" s="18" t="n">
        <f aca="false">MAX(N86:AE86)</f>
        <v>7.34</v>
      </c>
      <c r="H86" s="19" t="n">
        <f aca="false">G86-F86</f>
        <v>0</v>
      </c>
      <c r="I86" s="20" t="n">
        <f aca="false">IFERROR((G86-F86)/F86,0)</f>
        <v>0</v>
      </c>
      <c r="J86" s="17" t="n">
        <v>1</v>
      </c>
      <c r="K86" s="17" t="n">
        <v>1</v>
      </c>
      <c r="L86" s="18" t="n">
        <v>7.34</v>
      </c>
      <c r="M86" s="18" t="n">
        <v>7.34</v>
      </c>
      <c r="P86" s="14" t="n">
        <v>7.34</v>
      </c>
    </row>
    <row r="87" customFormat="false" ht="15" hidden="false" customHeight="false" outlineLevel="0" collapsed="false">
      <c r="A87" s="0" t="s">
        <v>252</v>
      </c>
      <c r="B87" s="0" t="s">
        <v>253</v>
      </c>
      <c r="C87" s="0" t="s">
        <v>98</v>
      </c>
      <c r="D87" s="0" t="s">
        <v>115</v>
      </c>
      <c r="E87" s="0" t="s">
        <v>78</v>
      </c>
      <c r="F87" s="14" t="n">
        <f aca="false">MIN(N87:AE87)</f>
        <v>2.57</v>
      </c>
      <c r="G87" s="14" t="n">
        <f aca="false">MAX(N87:AE87)</f>
        <v>2.57</v>
      </c>
      <c r="H87" s="15" t="n">
        <f aca="false">G87-F87</f>
        <v>0</v>
      </c>
      <c r="I87" s="8" t="n">
        <f aca="false">IFERROR((G87-F87)/F87,0)</f>
        <v>0</v>
      </c>
      <c r="J87" s="0" t="n">
        <v>1</v>
      </c>
      <c r="K87" s="0" t="n">
        <v>1</v>
      </c>
      <c r="L87" s="14" t="n">
        <v>2.57</v>
      </c>
      <c r="M87" s="14" t="n">
        <v>2.57</v>
      </c>
      <c r="P87" s="14" t="n">
        <v>2.57</v>
      </c>
    </row>
    <row r="88" customFormat="false" ht="15" hidden="false" customHeight="false" outlineLevel="0" collapsed="false">
      <c r="A88" s="17" t="s">
        <v>254</v>
      </c>
      <c r="B88" s="17" t="s">
        <v>255</v>
      </c>
      <c r="C88" s="17" t="s">
        <v>98</v>
      </c>
      <c r="D88" s="17" t="s">
        <v>115</v>
      </c>
      <c r="E88" s="17" t="s">
        <v>78</v>
      </c>
      <c r="F88" s="18" t="n">
        <f aca="false">MIN(N88:AE88)</f>
        <v>24.57</v>
      </c>
      <c r="G88" s="18" t="n">
        <f aca="false">MAX(N88:AE88)</f>
        <v>24.57</v>
      </c>
      <c r="H88" s="19" t="n">
        <f aca="false">G88-F88</f>
        <v>0</v>
      </c>
      <c r="I88" s="20" t="n">
        <f aca="false">IFERROR((G88-F88)/F88,0)</f>
        <v>0</v>
      </c>
      <c r="J88" s="17" t="n">
        <v>1</v>
      </c>
      <c r="K88" s="17" t="n">
        <v>1</v>
      </c>
      <c r="L88" s="18" t="n">
        <v>24.57</v>
      </c>
      <c r="M88" s="18" t="n">
        <v>24.57</v>
      </c>
      <c r="AD88" s="16" t="n">
        <v>24.57</v>
      </c>
    </row>
    <row r="89" customFormat="false" ht="15" hidden="false" customHeight="false" outlineLevel="0" collapsed="false">
      <c r="A89" s="0" t="s">
        <v>256</v>
      </c>
      <c r="B89" s="0" t="s">
        <v>257</v>
      </c>
      <c r="C89" s="0" t="s">
        <v>98</v>
      </c>
      <c r="D89" s="0" t="s">
        <v>115</v>
      </c>
      <c r="E89" s="0" t="s">
        <v>78</v>
      </c>
      <c r="F89" s="14" t="n">
        <f aca="false">MIN(N89:AE89)</f>
        <v>17.65</v>
      </c>
      <c r="G89" s="14" t="n">
        <f aca="false">MAX(N89:AE89)</f>
        <v>17.65</v>
      </c>
      <c r="H89" s="15" t="n">
        <f aca="false">G89-F89</f>
        <v>0</v>
      </c>
      <c r="I89" s="8" t="n">
        <f aca="false">IFERROR((G89-F89)/F89,0)</f>
        <v>0</v>
      </c>
      <c r="J89" s="0" t="n">
        <v>1</v>
      </c>
      <c r="K89" s="0" t="n">
        <v>1</v>
      </c>
      <c r="L89" s="14" t="n">
        <v>17.65</v>
      </c>
      <c r="M89" s="14" t="n">
        <v>17.65</v>
      </c>
      <c r="P89" s="14" t="n">
        <v>17.65</v>
      </c>
    </row>
    <row r="90" customFormat="false" ht="15" hidden="false" customHeight="false" outlineLevel="0" collapsed="false">
      <c r="A90" s="17" t="s">
        <v>258</v>
      </c>
      <c r="B90" s="17" t="s">
        <v>259</v>
      </c>
      <c r="C90" s="17" t="s">
        <v>98</v>
      </c>
      <c r="D90" s="17" t="s">
        <v>115</v>
      </c>
      <c r="E90" s="17" t="s">
        <v>78</v>
      </c>
      <c r="F90" s="18" t="n">
        <f aca="false">MIN(N90:AE90)</f>
        <v>9.66</v>
      </c>
      <c r="G90" s="18" t="n">
        <f aca="false">MAX(N90:AE90)</f>
        <v>9.66</v>
      </c>
      <c r="H90" s="19" t="n">
        <f aca="false">G90-F90</f>
        <v>0</v>
      </c>
      <c r="I90" s="20" t="n">
        <f aca="false">IFERROR((G90-F90)/F90,0)</f>
        <v>0</v>
      </c>
      <c r="J90" s="17" t="n">
        <v>1</v>
      </c>
      <c r="K90" s="17" t="n">
        <v>1</v>
      </c>
      <c r="L90" s="18" t="n">
        <v>9.66</v>
      </c>
      <c r="M90" s="18" t="n">
        <v>9.66</v>
      </c>
      <c r="P90" s="14" t="n">
        <v>9.66</v>
      </c>
    </row>
    <row r="91" customFormat="false" ht="15" hidden="false" customHeight="false" outlineLevel="0" collapsed="false">
      <c r="A91" s="0" t="s">
        <v>260</v>
      </c>
      <c r="B91" s="0" t="s">
        <v>261</v>
      </c>
      <c r="C91" s="0" t="s">
        <v>98</v>
      </c>
      <c r="D91" s="0" t="s">
        <v>77</v>
      </c>
      <c r="E91" s="0" t="s">
        <v>78</v>
      </c>
      <c r="F91" s="14" t="n">
        <f aca="false">MIN(N91:AE91)</f>
        <v>8.34</v>
      </c>
      <c r="G91" s="14" t="n">
        <f aca="false">MAX(N91:AE91)</f>
        <v>8.34</v>
      </c>
      <c r="H91" s="15" t="n">
        <f aca="false">G91-F91</f>
        <v>0</v>
      </c>
      <c r="I91" s="8" t="n">
        <f aca="false">IFERROR((G91-F91)/F91,0)</f>
        <v>0</v>
      </c>
      <c r="J91" s="0" t="n">
        <v>1</v>
      </c>
      <c r="K91" s="0" t="n">
        <v>1</v>
      </c>
      <c r="L91" s="14" t="n">
        <v>8.34</v>
      </c>
      <c r="M91" s="14" t="n">
        <v>8.34</v>
      </c>
      <c r="N91" s="14" t="n">
        <v>8.34</v>
      </c>
    </row>
    <row r="92" customFormat="false" ht="15" hidden="false" customHeight="false" outlineLevel="0" collapsed="false">
      <c r="A92" s="17" t="s">
        <v>262</v>
      </c>
      <c r="B92" s="17" t="s">
        <v>263</v>
      </c>
      <c r="C92" s="17" t="s">
        <v>98</v>
      </c>
      <c r="D92" s="17" t="s">
        <v>77</v>
      </c>
      <c r="E92" s="17" t="s">
        <v>78</v>
      </c>
      <c r="F92" s="18" t="n">
        <f aca="false">MIN(N92:AE92)</f>
        <v>8.95</v>
      </c>
      <c r="G92" s="18" t="n">
        <f aca="false">MAX(N92:AE92)</f>
        <v>8.95</v>
      </c>
      <c r="H92" s="19" t="n">
        <f aca="false">G92-F92</f>
        <v>0</v>
      </c>
      <c r="I92" s="20" t="n">
        <f aca="false">IFERROR((G92-F92)/F92,0)</f>
        <v>0</v>
      </c>
      <c r="J92" s="17" t="n">
        <v>1</v>
      </c>
      <c r="K92" s="17" t="n">
        <v>2</v>
      </c>
      <c r="L92" s="18" t="n">
        <v>8.95</v>
      </c>
      <c r="M92" s="18" t="n">
        <v>8.95</v>
      </c>
      <c r="N92" s="14" t="n">
        <v>8.95</v>
      </c>
      <c r="Z92" s="14" t="n">
        <v>8.95</v>
      </c>
    </row>
    <row r="93" customFormat="false" ht="15" hidden="false" customHeight="false" outlineLevel="0" collapsed="false">
      <c r="A93" s="0" t="s">
        <v>264</v>
      </c>
      <c r="B93" s="0" t="s">
        <v>265</v>
      </c>
      <c r="C93" s="0" t="s">
        <v>98</v>
      </c>
      <c r="D93" s="0" t="s">
        <v>77</v>
      </c>
      <c r="E93" s="0" t="s">
        <v>78</v>
      </c>
      <c r="F93" s="14" t="n">
        <f aca="false">MIN(N93:AE93)</f>
        <v>19.7</v>
      </c>
      <c r="G93" s="14" t="n">
        <f aca="false">MAX(N93:AE93)</f>
        <v>19.7</v>
      </c>
      <c r="H93" s="15" t="n">
        <f aca="false">G93-F93</f>
        <v>0</v>
      </c>
      <c r="I93" s="8" t="n">
        <f aca="false">IFERROR((G93-F93)/F93,0)</f>
        <v>0</v>
      </c>
      <c r="J93" s="0" t="n">
        <v>1</v>
      </c>
      <c r="K93" s="0" t="n">
        <v>1</v>
      </c>
      <c r="L93" s="14" t="n">
        <v>19.7</v>
      </c>
      <c r="M93" s="14" t="n">
        <v>19.7</v>
      </c>
      <c r="O93" s="14" t="n">
        <v>19.7</v>
      </c>
    </row>
    <row r="94" customFormat="false" ht="15" hidden="false" customHeight="false" outlineLevel="0" collapsed="false">
      <c r="A94" s="17" t="s">
        <v>266</v>
      </c>
      <c r="B94" s="17" t="s">
        <v>267</v>
      </c>
      <c r="C94" s="17" t="s">
        <v>98</v>
      </c>
      <c r="D94" s="17" t="s">
        <v>77</v>
      </c>
      <c r="E94" s="17" t="s">
        <v>78</v>
      </c>
      <c r="F94" s="18" t="n">
        <f aca="false">MIN(N94:AE94)</f>
        <v>7.74</v>
      </c>
      <c r="G94" s="18" t="n">
        <f aca="false">MAX(N94:AE94)</f>
        <v>7.74</v>
      </c>
      <c r="H94" s="19" t="n">
        <f aca="false">G94-F94</f>
        <v>0</v>
      </c>
      <c r="I94" s="20" t="n">
        <f aca="false">IFERROR((G94-F94)/F94,0)</f>
        <v>0</v>
      </c>
      <c r="J94" s="17" t="n">
        <v>1</v>
      </c>
      <c r="K94" s="17" t="n">
        <v>1</v>
      </c>
      <c r="L94" s="18" t="n">
        <v>7.74</v>
      </c>
      <c r="M94" s="18" t="n">
        <v>7.74</v>
      </c>
      <c r="T94" s="14" t="n">
        <v>7.74</v>
      </c>
    </row>
    <row r="95" customFormat="false" ht="15" hidden="false" customHeight="false" outlineLevel="0" collapsed="false">
      <c r="A95" s="0" t="s">
        <v>268</v>
      </c>
      <c r="B95" s="0" t="s">
        <v>269</v>
      </c>
      <c r="C95" s="0" t="s">
        <v>98</v>
      </c>
      <c r="D95" s="0" t="s">
        <v>77</v>
      </c>
      <c r="E95" s="0" t="s">
        <v>78</v>
      </c>
      <c r="F95" s="14" t="n">
        <f aca="false">MIN(N95:AE95)</f>
        <v>5.44</v>
      </c>
      <c r="G95" s="14" t="n">
        <f aca="false">MAX(N95:AE95)</f>
        <v>5.44</v>
      </c>
      <c r="H95" s="15" t="n">
        <f aca="false">G95-F95</f>
        <v>0</v>
      </c>
      <c r="I95" s="8" t="n">
        <f aca="false">IFERROR((G95-F95)/F95,0)</f>
        <v>0</v>
      </c>
      <c r="J95" s="0" t="n">
        <v>1</v>
      </c>
      <c r="K95" s="0" t="n">
        <v>1</v>
      </c>
      <c r="L95" s="14" t="n">
        <v>5.44</v>
      </c>
      <c r="M95" s="14" t="n">
        <v>5.44</v>
      </c>
      <c r="T95" s="14" t="n">
        <v>5.44</v>
      </c>
    </row>
    <row r="96" customFormat="false" ht="15" hidden="false" customHeight="false" outlineLevel="0" collapsed="false">
      <c r="A96" s="17" t="s">
        <v>270</v>
      </c>
      <c r="B96" s="17" t="s">
        <v>271</v>
      </c>
      <c r="C96" s="17" t="s">
        <v>98</v>
      </c>
      <c r="D96" s="17" t="s">
        <v>115</v>
      </c>
      <c r="E96" s="17" t="s">
        <v>78</v>
      </c>
      <c r="F96" s="18" t="n">
        <f aca="false">MIN(N96:AE96)</f>
        <v>3.13</v>
      </c>
      <c r="G96" s="18" t="n">
        <f aca="false">MAX(N96:AE96)</f>
        <v>3.13</v>
      </c>
      <c r="H96" s="19" t="n">
        <f aca="false">G96-F96</f>
        <v>0</v>
      </c>
      <c r="I96" s="20" t="n">
        <f aca="false">IFERROR((G96-F96)/F96,0)</f>
        <v>0</v>
      </c>
      <c r="J96" s="17" t="n">
        <v>1</v>
      </c>
      <c r="K96" s="17" t="n">
        <v>1</v>
      </c>
      <c r="L96" s="18" t="n">
        <v>3.13</v>
      </c>
      <c r="M96" s="18" t="n">
        <v>3.13</v>
      </c>
      <c r="P96" s="14" t="n">
        <v>3.13</v>
      </c>
    </row>
    <row r="97" customFormat="false" ht="15" hidden="false" customHeight="false" outlineLevel="0" collapsed="false">
      <c r="A97" s="0" t="s">
        <v>272</v>
      </c>
      <c r="B97" s="0" t="s">
        <v>273</v>
      </c>
      <c r="C97" s="0" t="s">
        <v>182</v>
      </c>
      <c r="D97" s="0" t="s">
        <v>77</v>
      </c>
      <c r="E97" s="0" t="s">
        <v>78</v>
      </c>
      <c r="F97" s="14" t="n">
        <f aca="false">MIN(N97:AE97)</f>
        <v>22.22</v>
      </c>
      <c r="G97" s="14" t="n">
        <f aca="false">MAX(N97:AE97)</f>
        <v>22.22</v>
      </c>
      <c r="H97" s="15" t="n">
        <f aca="false">G97-F97</f>
        <v>0</v>
      </c>
      <c r="I97" s="8" t="n">
        <f aca="false">IFERROR((G97-F97)/F97,0)</f>
        <v>0</v>
      </c>
      <c r="J97" s="0" t="n">
        <v>1</v>
      </c>
      <c r="K97" s="0" t="n">
        <v>1</v>
      </c>
      <c r="L97" s="14" t="n">
        <v>22.22</v>
      </c>
      <c r="M97" s="14" t="n">
        <v>22.22</v>
      </c>
      <c r="X97" s="14" t="n">
        <v>22.22</v>
      </c>
    </row>
    <row r="98" customFormat="false" ht="15" hidden="false" customHeight="false" outlineLevel="0" collapsed="false">
      <c r="A98" s="17" t="s">
        <v>274</v>
      </c>
      <c r="B98" s="17" t="s">
        <v>275</v>
      </c>
      <c r="C98" s="17" t="s">
        <v>182</v>
      </c>
      <c r="D98" s="17" t="s">
        <v>77</v>
      </c>
      <c r="E98" s="17" t="s">
        <v>78</v>
      </c>
      <c r="F98" s="18" t="n">
        <f aca="false">MIN(N98:AE98)</f>
        <v>12.47</v>
      </c>
      <c r="G98" s="18" t="n">
        <f aca="false">MAX(N98:AE98)</f>
        <v>12.47</v>
      </c>
      <c r="H98" s="19" t="n">
        <f aca="false">G98-F98</f>
        <v>0</v>
      </c>
      <c r="I98" s="20" t="n">
        <f aca="false">IFERROR((G98-F98)/F98,0)</f>
        <v>0</v>
      </c>
      <c r="J98" s="17" t="n">
        <v>1</v>
      </c>
      <c r="K98" s="17" t="n">
        <v>1</v>
      </c>
      <c r="L98" s="18" t="n">
        <v>12.47</v>
      </c>
      <c r="M98" s="18" t="n">
        <v>12.47</v>
      </c>
      <c r="T98" s="14" t="n">
        <v>12.47</v>
      </c>
    </row>
    <row r="99" customFormat="false" ht="15" hidden="false" customHeight="false" outlineLevel="0" collapsed="false">
      <c r="A99" s="0" t="s">
        <v>276</v>
      </c>
      <c r="B99" s="0" t="s">
        <v>277</v>
      </c>
      <c r="C99" s="0" t="s">
        <v>182</v>
      </c>
      <c r="D99" s="0" t="s">
        <v>77</v>
      </c>
      <c r="E99" s="0" t="s">
        <v>78</v>
      </c>
      <c r="F99" s="14" t="n">
        <f aca="false">MIN(N99:AE99)</f>
        <v>5.49</v>
      </c>
      <c r="G99" s="14" t="n">
        <f aca="false">MAX(N99:AE99)</f>
        <v>5.49</v>
      </c>
      <c r="H99" s="15" t="n">
        <f aca="false">G99-F99</f>
        <v>0</v>
      </c>
      <c r="I99" s="8" t="n">
        <f aca="false">IFERROR((G99-F99)/F99,0)</f>
        <v>0</v>
      </c>
      <c r="J99" s="0" t="n">
        <v>1</v>
      </c>
      <c r="K99" s="0" t="n">
        <v>1</v>
      </c>
      <c r="L99" s="14" t="n">
        <v>5.49</v>
      </c>
      <c r="M99" s="14" t="n">
        <v>5.49</v>
      </c>
      <c r="T99" s="14" t="n">
        <v>5.49</v>
      </c>
    </row>
    <row r="100" customFormat="false" ht="15" hidden="false" customHeight="false" outlineLevel="0" collapsed="false">
      <c r="A100" s="17" t="s">
        <v>278</v>
      </c>
      <c r="B100" s="17" t="s">
        <v>279</v>
      </c>
      <c r="C100" s="17" t="s">
        <v>280</v>
      </c>
      <c r="D100" s="17" t="s">
        <v>77</v>
      </c>
      <c r="E100" s="17" t="s">
        <v>78</v>
      </c>
      <c r="F100" s="18" t="n">
        <f aca="false">MIN(N100:AE100)</f>
        <v>0.99</v>
      </c>
      <c r="G100" s="18" t="n">
        <f aca="false">MAX(N100:AE100)</f>
        <v>0.99</v>
      </c>
      <c r="H100" s="19" t="n">
        <f aca="false">G100-F100</f>
        <v>0</v>
      </c>
      <c r="I100" s="20" t="n">
        <f aca="false">IFERROR((G100-F100)/F100,0)</f>
        <v>0</v>
      </c>
      <c r="J100" s="17" t="n">
        <v>1</v>
      </c>
      <c r="K100" s="17" t="n">
        <v>1</v>
      </c>
      <c r="L100" s="18" t="n">
        <v>0.99</v>
      </c>
      <c r="M100" s="18" t="n">
        <v>0.99</v>
      </c>
      <c r="W100" s="14" t="n">
        <v>0.99</v>
      </c>
    </row>
    <row r="101" customFormat="false" ht="15" hidden="false" customHeight="false" outlineLevel="0" collapsed="false">
      <c r="A101" s="0" t="s">
        <v>281</v>
      </c>
      <c r="B101" s="0" t="s">
        <v>282</v>
      </c>
      <c r="C101" s="0" t="s">
        <v>280</v>
      </c>
      <c r="D101" s="0" t="s">
        <v>77</v>
      </c>
      <c r="E101" s="0" t="s">
        <v>78</v>
      </c>
      <c r="F101" s="14" t="n">
        <f aca="false">MIN(N101:AE101)</f>
        <v>8.23</v>
      </c>
      <c r="G101" s="14" t="n">
        <f aca="false">MAX(N101:AE101)</f>
        <v>8.23</v>
      </c>
      <c r="H101" s="15" t="n">
        <f aca="false">G101-F101</f>
        <v>0</v>
      </c>
      <c r="I101" s="8" t="n">
        <f aca="false">IFERROR((G101-F101)/F101,0)</f>
        <v>0</v>
      </c>
      <c r="J101" s="0" t="n">
        <v>1</v>
      </c>
      <c r="K101" s="0" t="n">
        <v>1</v>
      </c>
      <c r="L101" s="14" t="n">
        <v>8.23</v>
      </c>
      <c r="M101" s="14" t="n">
        <v>8.23</v>
      </c>
      <c r="T101" s="14" t="n">
        <v>8.23</v>
      </c>
    </row>
    <row r="102" customFormat="false" ht="15" hidden="false" customHeight="false" outlineLevel="0" collapsed="false">
      <c r="A102" s="17" t="s">
        <v>283</v>
      </c>
      <c r="B102" s="17" t="s">
        <v>284</v>
      </c>
      <c r="C102" s="17" t="s">
        <v>280</v>
      </c>
      <c r="D102" s="17" t="s">
        <v>77</v>
      </c>
      <c r="E102" s="17" t="s">
        <v>78</v>
      </c>
      <c r="F102" s="18" t="n">
        <f aca="false">MIN(N102:AE102)</f>
        <v>4.38</v>
      </c>
      <c r="G102" s="18" t="n">
        <f aca="false">MAX(N102:AE102)</f>
        <v>4.38</v>
      </c>
      <c r="H102" s="19" t="n">
        <f aca="false">G102-F102</f>
        <v>0</v>
      </c>
      <c r="I102" s="20" t="n">
        <f aca="false">IFERROR((G102-F102)/F102,0)</f>
        <v>0</v>
      </c>
      <c r="J102" s="17" t="n">
        <v>1</v>
      </c>
      <c r="K102" s="17" t="n">
        <v>1</v>
      </c>
      <c r="L102" s="18" t="n">
        <v>4.38</v>
      </c>
      <c r="M102" s="18" t="n">
        <v>4.38</v>
      </c>
      <c r="T102" s="14" t="n">
        <v>4.38</v>
      </c>
    </row>
    <row r="103" customFormat="false" ht="15" hidden="false" customHeight="false" outlineLevel="0" collapsed="false">
      <c r="A103" s="0" t="s">
        <v>285</v>
      </c>
      <c r="B103" s="0" t="s">
        <v>286</v>
      </c>
      <c r="C103" s="0" t="s">
        <v>280</v>
      </c>
      <c r="D103" s="0" t="s">
        <v>77</v>
      </c>
      <c r="E103" s="0" t="s">
        <v>78</v>
      </c>
      <c r="F103" s="14" t="n">
        <f aca="false">MIN(N103:AE103)</f>
        <v>2.49</v>
      </c>
      <c r="G103" s="14" t="n">
        <f aca="false">MAX(N103:AE103)</f>
        <v>2.49</v>
      </c>
      <c r="H103" s="15" t="n">
        <f aca="false">G103-F103</f>
        <v>0</v>
      </c>
      <c r="I103" s="8" t="n">
        <f aca="false">IFERROR((G103-F103)/F103,0)</f>
        <v>0</v>
      </c>
      <c r="J103" s="0" t="n">
        <v>1</v>
      </c>
      <c r="K103" s="0" t="n">
        <v>1</v>
      </c>
      <c r="L103" s="14" t="n">
        <v>2.49</v>
      </c>
      <c r="M103" s="14" t="n">
        <v>2.49</v>
      </c>
      <c r="W103" s="14" t="n">
        <v>2.49</v>
      </c>
    </row>
    <row r="104" customFormat="false" ht="15" hidden="false" customHeight="false" outlineLevel="0" collapsed="false">
      <c r="A104" s="17" t="s">
        <v>287</v>
      </c>
      <c r="B104" s="17" t="s">
        <v>288</v>
      </c>
      <c r="C104" s="17" t="s">
        <v>289</v>
      </c>
      <c r="D104" s="17" t="s">
        <v>77</v>
      </c>
      <c r="E104" s="17" t="s">
        <v>78</v>
      </c>
      <c r="F104" s="18" t="n">
        <f aca="false">MIN(N104:AE104)</f>
        <v>4.04</v>
      </c>
      <c r="G104" s="18" t="n">
        <f aca="false">MAX(N104:AE104)</f>
        <v>4.04</v>
      </c>
      <c r="H104" s="19" t="n">
        <f aca="false">G104-F104</f>
        <v>0</v>
      </c>
      <c r="I104" s="20" t="n">
        <f aca="false">IFERROR((G104-F104)/F104,0)</f>
        <v>0</v>
      </c>
      <c r="J104" s="17" t="n">
        <v>1</v>
      </c>
      <c r="K104" s="17" t="n">
        <v>1</v>
      </c>
      <c r="L104" s="18" t="n">
        <v>4.04</v>
      </c>
      <c r="M104" s="18" t="n">
        <v>4.04</v>
      </c>
      <c r="U104" s="14" t="n">
        <v>4.04</v>
      </c>
    </row>
    <row r="105" customFormat="false" ht="15" hidden="false" customHeight="false" outlineLevel="0" collapsed="false">
      <c r="A105" s="0" t="s">
        <v>290</v>
      </c>
      <c r="B105" s="0" t="s">
        <v>291</v>
      </c>
      <c r="C105" s="0" t="s">
        <v>289</v>
      </c>
      <c r="D105" s="0" t="s">
        <v>77</v>
      </c>
      <c r="E105" s="0" t="s">
        <v>78</v>
      </c>
      <c r="F105" s="14" t="n">
        <f aca="false">MIN(N105:AE105)</f>
        <v>3.47</v>
      </c>
      <c r="G105" s="14" t="n">
        <f aca="false">MAX(N105:AE105)</f>
        <v>3.47</v>
      </c>
      <c r="H105" s="15" t="n">
        <f aca="false">G105-F105</f>
        <v>0</v>
      </c>
      <c r="I105" s="8" t="n">
        <f aca="false">IFERROR((G105-F105)/F105,0)</f>
        <v>0</v>
      </c>
      <c r="J105" s="0" t="n">
        <v>1</v>
      </c>
      <c r="K105" s="0" t="n">
        <v>1</v>
      </c>
      <c r="L105" s="14" t="n">
        <v>3.47</v>
      </c>
      <c r="M105" s="14" t="n">
        <v>3.47</v>
      </c>
      <c r="U105" s="14" t="n">
        <v>3.47</v>
      </c>
    </row>
    <row r="106" customFormat="false" ht="15" hidden="false" customHeight="false" outlineLevel="0" collapsed="false">
      <c r="A106" s="17" t="s">
        <v>292</v>
      </c>
      <c r="B106" s="17" t="s">
        <v>293</v>
      </c>
      <c r="C106" s="17" t="s">
        <v>289</v>
      </c>
      <c r="D106" s="17" t="s">
        <v>77</v>
      </c>
      <c r="E106" s="17" t="s">
        <v>78</v>
      </c>
      <c r="F106" s="18" t="n">
        <f aca="false">MIN(N106:AE106)</f>
        <v>7.05</v>
      </c>
      <c r="G106" s="18" t="n">
        <f aca="false">MAX(N106:AE106)</f>
        <v>7.05</v>
      </c>
      <c r="H106" s="19" t="n">
        <f aca="false">G106-F106</f>
        <v>0</v>
      </c>
      <c r="I106" s="20" t="n">
        <f aca="false">IFERROR((G106-F106)/F106,0)</f>
        <v>0</v>
      </c>
      <c r="J106" s="17" t="n">
        <v>1</v>
      </c>
      <c r="K106" s="17" t="n">
        <v>3</v>
      </c>
      <c r="L106" s="18" t="n">
        <v>7.05</v>
      </c>
      <c r="M106" s="18" t="n">
        <v>7.05</v>
      </c>
      <c r="T106" s="14" t="n">
        <v>7.05</v>
      </c>
      <c r="U106" s="14" t="n">
        <v>7.05</v>
      </c>
      <c r="W106" s="14" t="n">
        <v>7.05</v>
      </c>
    </row>
    <row r="107" customFormat="false" ht="15" hidden="false" customHeight="false" outlineLevel="0" collapsed="false">
      <c r="A107" s="0" t="s">
        <v>294</v>
      </c>
      <c r="B107" s="0" t="s">
        <v>295</v>
      </c>
      <c r="C107" s="0" t="s">
        <v>289</v>
      </c>
      <c r="D107" s="0" t="s">
        <v>77</v>
      </c>
      <c r="E107" s="0" t="s">
        <v>78</v>
      </c>
      <c r="F107" s="14" t="n">
        <f aca="false">MIN(N107:AE107)</f>
        <v>4.2</v>
      </c>
      <c r="G107" s="14" t="n">
        <f aca="false">MAX(N107:AE107)</f>
        <v>4.2</v>
      </c>
      <c r="H107" s="15" t="n">
        <f aca="false">G107-F107</f>
        <v>0</v>
      </c>
      <c r="I107" s="8" t="n">
        <f aca="false">IFERROR((G107-F107)/F107,0)</f>
        <v>0</v>
      </c>
      <c r="J107" s="0" t="n">
        <v>1</v>
      </c>
      <c r="K107" s="0" t="n">
        <v>1</v>
      </c>
      <c r="L107" s="14" t="n">
        <v>4.2</v>
      </c>
      <c r="M107" s="14" t="n">
        <v>4.2</v>
      </c>
      <c r="T107" s="14" t="n">
        <v>4.2</v>
      </c>
    </row>
    <row r="108" customFormat="false" ht="15" hidden="false" customHeight="false" outlineLevel="0" collapsed="false">
      <c r="A108" s="17" t="s">
        <v>296</v>
      </c>
      <c r="B108" s="17" t="s">
        <v>297</v>
      </c>
      <c r="C108" s="17" t="s">
        <v>289</v>
      </c>
      <c r="D108" s="17" t="s">
        <v>77</v>
      </c>
      <c r="E108" s="17" t="s">
        <v>78</v>
      </c>
      <c r="F108" s="18" t="n">
        <f aca="false">MIN(N108:AE108)</f>
        <v>6.3</v>
      </c>
      <c r="G108" s="18" t="n">
        <f aca="false">MAX(N108:AE108)</f>
        <v>6.3</v>
      </c>
      <c r="H108" s="19" t="n">
        <f aca="false">G108-F108</f>
        <v>0</v>
      </c>
      <c r="I108" s="20" t="n">
        <f aca="false">IFERROR((G108-F108)/F108,0)</f>
        <v>0</v>
      </c>
      <c r="J108" s="17" t="n">
        <v>1</v>
      </c>
      <c r="K108" s="17" t="n">
        <v>1</v>
      </c>
      <c r="L108" s="18" t="n">
        <v>6.3</v>
      </c>
      <c r="M108" s="18" t="n">
        <v>6.3</v>
      </c>
      <c r="W108" s="14" t="n">
        <v>6.3</v>
      </c>
    </row>
    <row r="109" customFormat="false" ht="15" hidden="false" customHeight="false" outlineLevel="0" collapsed="false">
      <c r="A109" s="0" t="s">
        <v>298</v>
      </c>
      <c r="B109" s="0" t="s">
        <v>299</v>
      </c>
      <c r="C109" s="0" t="s">
        <v>289</v>
      </c>
      <c r="D109" s="0" t="s">
        <v>77</v>
      </c>
      <c r="E109" s="0" t="s">
        <v>78</v>
      </c>
      <c r="F109" s="14" t="n">
        <f aca="false">MIN(N109:AE109)</f>
        <v>40.79</v>
      </c>
      <c r="G109" s="14" t="n">
        <f aca="false">MAX(N109:AE109)</f>
        <v>40.79</v>
      </c>
      <c r="H109" s="15" t="n">
        <f aca="false">G109-F109</f>
        <v>0</v>
      </c>
      <c r="I109" s="8" t="n">
        <f aca="false">IFERROR((G109-F109)/F109,0)</f>
        <v>0</v>
      </c>
      <c r="J109" s="0" t="n">
        <v>1</v>
      </c>
      <c r="K109" s="0" t="n">
        <v>1</v>
      </c>
      <c r="L109" s="14" t="n">
        <v>40.79</v>
      </c>
      <c r="M109" s="14" t="n">
        <v>40.79</v>
      </c>
      <c r="U109" s="14" t="n">
        <v>40.79</v>
      </c>
    </row>
    <row r="110" customFormat="false" ht="15" hidden="false" customHeight="false" outlineLevel="0" collapsed="false">
      <c r="A110" s="17" t="s">
        <v>300</v>
      </c>
      <c r="B110" s="17" t="s">
        <v>301</v>
      </c>
      <c r="C110" s="17" t="s">
        <v>289</v>
      </c>
      <c r="D110" s="17" t="s">
        <v>77</v>
      </c>
      <c r="E110" s="17" t="s">
        <v>78</v>
      </c>
      <c r="F110" s="18" t="n">
        <f aca="false">MIN(N110:AE110)</f>
        <v>2.17</v>
      </c>
      <c r="G110" s="18" t="n">
        <f aca="false">MAX(N110:AE110)</f>
        <v>2.17</v>
      </c>
      <c r="H110" s="19" t="n">
        <f aca="false">G110-F110</f>
        <v>0</v>
      </c>
      <c r="I110" s="20" t="n">
        <f aca="false">IFERROR((G110-F110)/F110,0)</f>
        <v>0</v>
      </c>
      <c r="J110" s="17" t="n">
        <v>1</v>
      </c>
      <c r="K110" s="17" t="n">
        <v>1</v>
      </c>
      <c r="L110" s="18" t="n">
        <v>2.17</v>
      </c>
      <c r="M110" s="18" t="n">
        <v>2.17</v>
      </c>
      <c r="T110" s="14" t="n">
        <v>2.17</v>
      </c>
    </row>
    <row r="111" customFormat="false" ht="15" hidden="false" customHeight="false" outlineLevel="0" collapsed="false">
      <c r="A111" s="0" t="s">
        <v>302</v>
      </c>
      <c r="B111" s="0" t="s">
        <v>303</v>
      </c>
      <c r="C111" s="0" t="s">
        <v>289</v>
      </c>
      <c r="D111" s="0" t="s">
        <v>77</v>
      </c>
      <c r="E111" s="0" t="s">
        <v>78</v>
      </c>
      <c r="F111" s="14" t="n">
        <f aca="false">MIN(N111:AE111)</f>
        <v>8.72</v>
      </c>
      <c r="G111" s="14" t="n">
        <f aca="false">MAX(N111:AE111)</f>
        <v>8.72</v>
      </c>
      <c r="H111" s="15" t="n">
        <f aca="false">G111-F111</f>
        <v>0</v>
      </c>
      <c r="I111" s="8" t="n">
        <f aca="false">IFERROR((G111-F111)/F111,0)</f>
        <v>0</v>
      </c>
      <c r="J111" s="0" t="n">
        <v>1</v>
      </c>
      <c r="K111" s="0" t="n">
        <v>1</v>
      </c>
      <c r="L111" s="14" t="n">
        <v>8.72</v>
      </c>
      <c r="M111" s="14" t="n">
        <v>8.72</v>
      </c>
      <c r="U111" s="14" t="n">
        <v>8.72</v>
      </c>
    </row>
    <row r="112" customFormat="false" ht="15" hidden="false" customHeight="false" outlineLevel="0" collapsed="false">
      <c r="A112" s="17" t="s">
        <v>304</v>
      </c>
      <c r="B112" s="17" t="s">
        <v>305</v>
      </c>
      <c r="C112" s="17" t="s">
        <v>81</v>
      </c>
      <c r="D112" s="17" t="s">
        <v>77</v>
      </c>
      <c r="E112" s="17" t="s">
        <v>78</v>
      </c>
      <c r="F112" s="18" t="n">
        <f aca="false">MIN(N112:AE112)</f>
        <v>3.2</v>
      </c>
      <c r="G112" s="18" t="n">
        <f aca="false">MAX(N112:AE112)</f>
        <v>3.2</v>
      </c>
      <c r="H112" s="19" t="n">
        <f aca="false">G112-F112</f>
        <v>0</v>
      </c>
      <c r="I112" s="20" t="n">
        <f aca="false">IFERROR((G112-F112)/F112,0)</f>
        <v>0</v>
      </c>
      <c r="J112" s="17" t="n">
        <v>1</v>
      </c>
      <c r="K112" s="17" t="n">
        <v>1</v>
      </c>
      <c r="L112" s="18" t="n">
        <v>3.2</v>
      </c>
      <c r="M112" s="18" t="n">
        <v>3.2</v>
      </c>
      <c r="U112" s="14" t="n">
        <v>3.2</v>
      </c>
    </row>
    <row r="113" customFormat="false" ht="15" hidden="false" customHeight="false" outlineLevel="0" collapsed="false">
      <c r="A113" s="0" t="s">
        <v>306</v>
      </c>
      <c r="B113" s="0" t="s">
        <v>307</v>
      </c>
      <c r="C113" s="0" t="s">
        <v>81</v>
      </c>
      <c r="D113" s="0" t="s">
        <v>77</v>
      </c>
      <c r="E113" s="0" t="s">
        <v>78</v>
      </c>
      <c r="F113" s="14" t="n">
        <f aca="false">MIN(N113:AE113)</f>
        <v>7.07</v>
      </c>
      <c r="G113" s="14" t="n">
        <f aca="false">MAX(N113:AE113)</f>
        <v>7.07</v>
      </c>
      <c r="H113" s="15" t="n">
        <f aca="false">G113-F113</f>
        <v>0</v>
      </c>
      <c r="I113" s="8" t="n">
        <f aca="false">IFERROR((G113-F113)/F113,0)</f>
        <v>0</v>
      </c>
      <c r="J113" s="0" t="n">
        <v>1</v>
      </c>
      <c r="K113" s="0" t="n">
        <v>1</v>
      </c>
      <c r="L113" s="14" t="n">
        <v>7.07</v>
      </c>
      <c r="M113" s="14" t="n">
        <v>7.07</v>
      </c>
      <c r="U113" s="14" t="n">
        <v>7.07</v>
      </c>
    </row>
    <row r="114" customFormat="false" ht="15" hidden="false" customHeight="false" outlineLevel="0" collapsed="false">
      <c r="A114" s="17" t="s">
        <v>308</v>
      </c>
      <c r="B114" s="17" t="s">
        <v>309</v>
      </c>
      <c r="C114" s="17" t="s">
        <v>81</v>
      </c>
      <c r="D114" s="17" t="s">
        <v>77</v>
      </c>
      <c r="E114" s="17" t="s">
        <v>78</v>
      </c>
      <c r="F114" s="18" t="n">
        <f aca="false">MIN(N114:AE114)</f>
        <v>5.65</v>
      </c>
      <c r="G114" s="18" t="n">
        <f aca="false">MAX(N114:AE114)</f>
        <v>5.65</v>
      </c>
      <c r="H114" s="19" t="n">
        <f aca="false">G114-F114</f>
        <v>0</v>
      </c>
      <c r="I114" s="20" t="n">
        <f aca="false">IFERROR((G114-F114)/F114,0)</f>
        <v>0</v>
      </c>
      <c r="J114" s="17" t="n">
        <v>1</v>
      </c>
      <c r="K114" s="17" t="n">
        <v>1</v>
      </c>
      <c r="L114" s="18" t="n">
        <v>5.65</v>
      </c>
      <c r="M114" s="18" t="n">
        <v>5.65</v>
      </c>
      <c r="S114" s="14" t="n">
        <v>5.65</v>
      </c>
    </row>
    <row r="115" customFormat="false" ht="15" hidden="false" customHeight="false" outlineLevel="0" collapsed="false">
      <c r="A115" s="0" t="s">
        <v>310</v>
      </c>
      <c r="B115" s="0" t="s">
        <v>311</v>
      </c>
      <c r="C115" s="0" t="s">
        <v>81</v>
      </c>
      <c r="D115" s="0" t="s">
        <v>77</v>
      </c>
      <c r="E115" s="0" t="s">
        <v>312</v>
      </c>
      <c r="F115" s="14" t="n">
        <f aca="false">MIN(N115:AE115)</f>
        <v>7.19</v>
      </c>
      <c r="G115" s="14" t="n">
        <f aca="false">MAX(N115:AE115)</f>
        <v>7.19</v>
      </c>
      <c r="H115" s="15" t="n">
        <f aca="false">G115-F115</f>
        <v>0</v>
      </c>
      <c r="I115" s="8" t="n">
        <f aca="false">IFERROR((G115-F115)/F115,0)</f>
        <v>0</v>
      </c>
      <c r="J115" s="0" t="n">
        <v>1</v>
      </c>
      <c r="K115" s="0" t="n">
        <v>2</v>
      </c>
      <c r="L115" s="14" t="n">
        <v>7.19</v>
      </c>
      <c r="M115" s="14" t="n">
        <v>7.19</v>
      </c>
      <c r="AC115" s="14" t="n">
        <v>7.19</v>
      </c>
    </row>
    <row r="116" customFormat="false" ht="15" hidden="false" customHeight="false" outlineLevel="0" collapsed="false">
      <c r="A116" s="17" t="s">
        <v>313</v>
      </c>
      <c r="B116" s="17" t="s">
        <v>314</v>
      </c>
      <c r="C116" s="17" t="s">
        <v>81</v>
      </c>
      <c r="D116" s="17" t="s">
        <v>77</v>
      </c>
      <c r="E116" s="17" t="s">
        <v>312</v>
      </c>
      <c r="F116" s="18" t="n">
        <f aca="false">MIN(N116:AE116)</f>
        <v>7.89</v>
      </c>
      <c r="G116" s="18" t="n">
        <f aca="false">MAX(N116:AE116)</f>
        <v>7.89</v>
      </c>
      <c r="H116" s="19" t="n">
        <f aca="false">G116-F116</f>
        <v>0</v>
      </c>
      <c r="I116" s="20" t="n">
        <f aca="false">IFERROR((G116-F116)/F116,0)</f>
        <v>0</v>
      </c>
      <c r="J116" s="17" t="n">
        <v>1</v>
      </c>
      <c r="K116" s="17" t="n">
        <v>2</v>
      </c>
      <c r="L116" s="18" t="n">
        <v>7.89</v>
      </c>
      <c r="M116" s="18" t="n">
        <v>7.89</v>
      </c>
      <c r="AC116" s="14" t="n">
        <v>7.89</v>
      </c>
    </row>
    <row r="117" customFormat="false" ht="15" hidden="false" customHeight="false" outlineLevel="0" collapsed="false">
      <c r="A117" s="0" t="s">
        <v>315</v>
      </c>
      <c r="B117" s="0" t="s">
        <v>316</v>
      </c>
      <c r="C117" s="0" t="s">
        <v>81</v>
      </c>
      <c r="D117" s="0" t="s">
        <v>77</v>
      </c>
      <c r="E117" s="0" t="s">
        <v>78</v>
      </c>
      <c r="F117" s="14" t="n">
        <f aca="false">MIN(N117:AE117)</f>
        <v>23.24</v>
      </c>
      <c r="G117" s="14" t="n">
        <f aca="false">MAX(N117:AE117)</f>
        <v>23.24</v>
      </c>
      <c r="H117" s="15" t="n">
        <f aca="false">G117-F117</f>
        <v>0</v>
      </c>
      <c r="I117" s="8" t="n">
        <f aca="false">IFERROR((G117-F117)/F117,0)</f>
        <v>0</v>
      </c>
      <c r="J117" s="0" t="n">
        <v>1</v>
      </c>
      <c r="K117" s="0" t="n">
        <v>1</v>
      </c>
      <c r="L117" s="14" t="n">
        <v>23.24</v>
      </c>
      <c r="M117" s="14" t="n">
        <v>23.24</v>
      </c>
      <c r="AD117" s="16" t="n">
        <v>23.24</v>
      </c>
    </row>
    <row r="118" customFormat="false" ht="15" hidden="false" customHeight="false" outlineLevel="0" collapsed="false">
      <c r="A118" s="17" t="s">
        <v>317</v>
      </c>
      <c r="B118" s="17" t="s">
        <v>318</v>
      </c>
      <c r="C118" s="17" t="s">
        <v>81</v>
      </c>
      <c r="D118" s="17" t="s">
        <v>77</v>
      </c>
      <c r="E118" s="17" t="s">
        <v>78</v>
      </c>
      <c r="F118" s="18" t="n">
        <f aca="false">MIN(N118:AE118)</f>
        <v>5.76</v>
      </c>
      <c r="G118" s="18" t="n">
        <f aca="false">MAX(N118:AE118)</f>
        <v>5.76</v>
      </c>
      <c r="H118" s="19" t="n">
        <f aca="false">G118-F118</f>
        <v>0</v>
      </c>
      <c r="I118" s="20" t="n">
        <f aca="false">IFERROR((G118-F118)/F118,0)</f>
        <v>0</v>
      </c>
      <c r="J118" s="17" t="n">
        <v>1</v>
      </c>
      <c r="K118" s="17" t="n">
        <v>1</v>
      </c>
      <c r="L118" s="18" t="n">
        <v>5.76</v>
      </c>
      <c r="M118" s="18" t="n">
        <v>5.76</v>
      </c>
      <c r="W118" s="14" t="n">
        <v>5.76</v>
      </c>
    </row>
    <row r="119" customFormat="false" ht="15" hidden="false" customHeight="false" outlineLevel="0" collapsed="false">
      <c r="A119" s="0" t="s">
        <v>319</v>
      </c>
      <c r="B119" s="0" t="s">
        <v>320</v>
      </c>
      <c r="C119" s="0" t="s">
        <v>81</v>
      </c>
      <c r="D119" s="0" t="s">
        <v>77</v>
      </c>
      <c r="E119" s="0" t="s">
        <v>312</v>
      </c>
      <c r="F119" s="14" t="n">
        <f aca="false">MIN(N119:AE119)</f>
        <v>9.29</v>
      </c>
      <c r="G119" s="14" t="n">
        <f aca="false">MAX(N119:AE119)</f>
        <v>9.29</v>
      </c>
      <c r="H119" s="15" t="n">
        <f aca="false">G119-F119</f>
        <v>0</v>
      </c>
      <c r="I119" s="8" t="n">
        <f aca="false">IFERROR((G119-F119)/F119,0)</f>
        <v>0</v>
      </c>
      <c r="J119" s="0" t="n">
        <v>1</v>
      </c>
      <c r="K119" s="0" t="n">
        <v>2</v>
      </c>
      <c r="L119" s="14" t="n">
        <v>9.29</v>
      </c>
      <c r="M119" s="14" t="n">
        <v>9.29</v>
      </c>
      <c r="AC119" s="14" t="n">
        <v>9.29</v>
      </c>
    </row>
    <row r="120" customFormat="false" ht="15" hidden="false" customHeight="false" outlineLevel="0" collapsed="false">
      <c r="A120" s="17" t="s">
        <v>321</v>
      </c>
      <c r="B120" s="17" t="s">
        <v>322</v>
      </c>
      <c r="C120" s="17" t="s">
        <v>323</v>
      </c>
      <c r="D120" s="17" t="s">
        <v>77</v>
      </c>
      <c r="E120" s="17" t="s">
        <v>78</v>
      </c>
      <c r="F120" s="18" t="n">
        <f aca="false">MIN(N120:AE120)</f>
        <v>2.61</v>
      </c>
      <c r="G120" s="18" t="n">
        <f aca="false">MAX(N120:AE120)</f>
        <v>2.61</v>
      </c>
      <c r="H120" s="19" t="n">
        <f aca="false">G120-F120</f>
        <v>0</v>
      </c>
      <c r="I120" s="20" t="n">
        <f aca="false">IFERROR((G120-F120)/F120,0)</f>
        <v>0</v>
      </c>
      <c r="J120" s="17" t="n">
        <v>1</v>
      </c>
      <c r="K120" s="17" t="n">
        <v>3</v>
      </c>
      <c r="L120" s="18" t="n">
        <v>2.61</v>
      </c>
      <c r="M120" s="18" t="n">
        <v>2.61</v>
      </c>
      <c r="T120" s="14" t="n">
        <v>2.61</v>
      </c>
      <c r="U120" s="14" t="n">
        <v>2.61</v>
      </c>
      <c r="W120" s="14" t="n">
        <v>2.61</v>
      </c>
    </row>
    <row r="121" customFormat="false" ht="15" hidden="false" customHeight="false" outlineLevel="0" collapsed="false">
      <c r="A121" s="0" t="s">
        <v>324</v>
      </c>
      <c r="B121" s="0" t="s">
        <v>325</v>
      </c>
      <c r="C121" s="0" t="s">
        <v>323</v>
      </c>
      <c r="D121" s="0" t="s">
        <v>77</v>
      </c>
      <c r="E121" s="0" t="s">
        <v>78</v>
      </c>
      <c r="F121" s="14" t="n">
        <f aca="false">MIN(N121:AE121)</f>
        <v>2.59</v>
      </c>
      <c r="G121" s="14" t="n">
        <f aca="false">MAX(N121:AE121)</f>
        <v>2.59</v>
      </c>
      <c r="H121" s="15" t="n">
        <f aca="false">G121-F121</f>
        <v>0</v>
      </c>
      <c r="I121" s="8" t="n">
        <f aca="false">IFERROR((G121-F121)/F121,0)</f>
        <v>0</v>
      </c>
      <c r="J121" s="0" t="n">
        <v>1</v>
      </c>
      <c r="K121" s="0" t="n">
        <v>1</v>
      </c>
      <c r="L121" s="14" t="n">
        <v>2.59</v>
      </c>
      <c r="M121" s="14" t="n">
        <v>2.59</v>
      </c>
      <c r="W121" s="14" t="n">
        <v>2.59</v>
      </c>
    </row>
    <row r="122" customFormat="false" ht="15" hidden="false" customHeight="false" outlineLevel="0" collapsed="false">
      <c r="A122" s="17" t="s">
        <v>326</v>
      </c>
      <c r="B122" s="17" t="s">
        <v>327</v>
      </c>
      <c r="C122" s="17" t="s">
        <v>328</v>
      </c>
      <c r="D122" s="17" t="s">
        <v>115</v>
      </c>
      <c r="E122" s="17" t="s">
        <v>78</v>
      </c>
      <c r="F122" s="18" t="n">
        <f aca="false">MIN(N122:AE122)</f>
        <v>16.19</v>
      </c>
      <c r="G122" s="18" t="n">
        <f aca="false">MAX(N122:AE122)</f>
        <v>16.19</v>
      </c>
      <c r="H122" s="19" t="n">
        <f aca="false">G122-F122</f>
        <v>0</v>
      </c>
      <c r="I122" s="20" t="n">
        <f aca="false">IFERROR((G122-F122)/F122,0)</f>
        <v>0</v>
      </c>
      <c r="J122" s="17" t="n">
        <v>1</v>
      </c>
      <c r="K122" s="17" t="n">
        <v>1</v>
      </c>
      <c r="L122" s="18" t="n">
        <v>16.19</v>
      </c>
      <c r="M122" s="18" t="n">
        <v>16.19</v>
      </c>
      <c r="T122" s="14" t="n">
        <v>16.19</v>
      </c>
    </row>
    <row r="123" customFormat="false" ht="15" hidden="false" customHeight="false" outlineLevel="0" collapsed="false">
      <c r="A123" s="0" t="s">
        <v>329</v>
      </c>
      <c r="B123" s="0" t="s">
        <v>330</v>
      </c>
      <c r="C123" s="0" t="s">
        <v>328</v>
      </c>
      <c r="D123" s="0" t="s">
        <v>115</v>
      </c>
      <c r="E123" s="0" t="s">
        <v>78</v>
      </c>
      <c r="F123" s="14" t="n">
        <f aca="false">MIN(N123:AE123)</f>
        <v>3.18</v>
      </c>
      <c r="G123" s="14" t="n">
        <f aca="false">MAX(N123:AE123)</f>
        <v>3.18</v>
      </c>
      <c r="H123" s="15" t="n">
        <f aca="false">G123-F123</f>
        <v>0</v>
      </c>
      <c r="I123" s="8" t="n">
        <f aca="false">IFERROR((G123-F123)/F123,0)</f>
        <v>0</v>
      </c>
      <c r="J123" s="0" t="n">
        <v>1</v>
      </c>
      <c r="K123" s="0" t="n">
        <v>1</v>
      </c>
      <c r="L123" s="14" t="n">
        <v>3.18</v>
      </c>
      <c r="M123" s="14" t="n">
        <v>3.18</v>
      </c>
      <c r="S123" s="14" t="n">
        <v>3.18</v>
      </c>
    </row>
    <row r="124" customFormat="false" ht="15" hidden="false" customHeight="false" outlineLevel="0" collapsed="false">
      <c r="A124" s="17" t="s">
        <v>331</v>
      </c>
      <c r="B124" s="17" t="s">
        <v>332</v>
      </c>
      <c r="C124" s="17" t="s">
        <v>328</v>
      </c>
      <c r="D124" s="17" t="s">
        <v>115</v>
      </c>
      <c r="E124" s="17" t="s">
        <v>78</v>
      </c>
      <c r="F124" s="18" t="n">
        <f aca="false">MIN(N124:AE124)</f>
        <v>8.19</v>
      </c>
      <c r="G124" s="18" t="n">
        <f aca="false">MAX(N124:AE124)</f>
        <v>8.19</v>
      </c>
      <c r="H124" s="19" t="n">
        <f aca="false">G124-F124</f>
        <v>0</v>
      </c>
      <c r="I124" s="20" t="n">
        <f aca="false">IFERROR((G124-F124)/F124,0)</f>
        <v>0</v>
      </c>
      <c r="J124" s="17" t="n">
        <v>1</v>
      </c>
      <c r="K124" s="17" t="n">
        <v>1</v>
      </c>
      <c r="L124" s="18" t="n">
        <v>8.19</v>
      </c>
      <c r="M124" s="18" t="n">
        <v>8.19</v>
      </c>
      <c r="O124" s="14" t="n">
        <v>8.19</v>
      </c>
    </row>
    <row r="125" customFormat="false" ht="15" hidden="false" customHeight="false" outlineLevel="0" collapsed="false">
      <c r="A125" s="0" t="s">
        <v>333</v>
      </c>
      <c r="B125" s="0" t="s">
        <v>334</v>
      </c>
      <c r="C125" s="0" t="s">
        <v>328</v>
      </c>
      <c r="D125" s="0" t="s">
        <v>115</v>
      </c>
      <c r="E125" s="0" t="s">
        <v>78</v>
      </c>
      <c r="F125" s="14" t="n">
        <f aca="false">MIN(N125:AE125)</f>
        <v>5.4</v>
      </c>
      <c r="G125" s="14" t="n">
        <f aca="false">MAX(N125:AE125)</f>
        <v>5.4</v>
      </c>
      <c r="H125" s="15" t="n">
        <f aca="false">G125-F125</f>
        <v>0</v>
      </c>
      <c r="I125" s="8" t="n">
        <f aca="false">IFERROR((G125-F125)/F125,0)</f>
        <v>0</v>
      </c>
      <c r="J125" s="0" t="n">
        <v>1</v>
      </c>
      <c r="K125" s="0" t="n">
        <v>1</v>
      </c>
      <c r="L125" s="14" t="n">
        <v>5.4</v>
      </c>
      <c r="M125" s="14" t="n">
        <v>5.4</v>
      </c>
      <c r="S125" s="14" t="n">
        <v>5.4</v>
      </c>
    </row>
    <row r="126" customFormat="false" ht="15" hidden="false" customHeight="false" outlineLevel="0" collapsed="false">
      <c r="A126" s="17" t="s">
        <v>335</v>
      </c>
      <c r="B126" s="17" t="s">
        <v>336</v>
      </c>
      <c r="C126" s="17" t="s">
        <v>328</v>
      </c>
      <c r="D126" s="17" t="s">
        <v>115</v>
      </c>
      <c r="E126" s="17" t="s">
        <v>78</v>
      </c>
      <c r="F126" s="18" t="n">
        <f aca="false">MIN(N126:AE126)</f>
        <v>4.74</v>
      </c>
      <c r="G126" s="18" t="n">
        <f aca="false">MAX(N126:AE126)</f>
        <v>4.74</v>
      </c>
      <c r="H126" s="19" t="n">
        <f aca="false">G126-F126</f>
        <v>0</v>
      </c>
      <c r="I126" s="20" t="n">
        <f aca="false">IFERROR((G126-F126)/F126,0)</f>
        <v>0</v>
      </c>
      <c r="J126" s="17" t="n">
        <v>1</v>
      </c>
      <c r="K126" s="17" t="n">
        <v>1</v>
      </c>
      <c r="L126" s="18" t="n">
        <v>4.74</v>
      </c>
      <c r="M126" s="18" t="n">
        <v>4.74</v>
      </c>
      <c r="AA126" s="14" t="n">
        <v>4.74</v>
      </c>
    </row>
    <row r="127" customFormat="false" ht="15" hidden="false" customHeight="false" outlineLevel="0" collapsed="false">
      <c r="A127" s="0" t="s">
        <v>337</v>
      </c>
      <c r="B127" s="0" t="s">
        <v>338</v>
      </c>
      <c r="C127" s="0" t="s">
        <v>339</v>
      </c>
      <c r="D127" s="0" t="s">
        <v>115</v>
      </c>
      <c r="E127" s="0" t="s">
        <v>78</v>
      </c>
      <c r="F127" s="14" t="n">
        <f aca="false">MIN(N127:AE127)</f>
        <v>15.49</v>
      </c>
      <c r="G127" s="14" t="n">
        <f aca="false">MAX(N127:AE127)</f>
        <v>15.49</v>
      </c>
      <c r="H127" s="15" t="n">
        <f aca="false">G127-F127</f>
        <v>0</v>
      </c>
      <c r="I127" s="8" t="n">
        <f aca="false">IFERROR((G127-F127)/F127,0)</f>
        <v>0</v>
      </c>
      <c r="J127" s="0" t="n">
        <v>1</v>
      </c>
      <c r="K127" s="0" t="n">
        <v>1</v>
      </c>
      <c r="L127" s="14" t="n">
        <v>15.49</v>
      </c>
      <c r="M127" s="14" t="n">
        <v>15.49</v>
      </c>
      <c r="X127" s="14" t="n">
        <v>15.49</v>
      </c>
    </row>
    <row r="128" customFormat="false" ht="15" hidden="false" customHeight="false" outlineLevel="0" collapsed="false">
      <c r="A128" s="17" t="s">
        <v>340</v>
      </c>
      <c r="B128" s="17" t="s">
        <v>341</v>
      </c>
      <c r="C128" s="17" t="s">
        <v>339</v>
      </c>
      <c r="D128" s="17" t="s">
        <v>115</v>
      </c>
      <c r="E128" s="17" t="s">
        <v>78</v>
      </c>
      <c r="F128" s="18" t="n">
        <f aca="false">MIN(N128:AE128)</f>
        <v>23.93</v>
      </c>
      <c r="G128" s="18" t="n">
        <f aca="false">MAX(N128:AE128)</f>
        <v>23.93</v>
      </c>
      <c r="H128" s="19" t="n">
        <f aca="false">G128-F128</f>
        <v>0</v>
      </c>
      <c r="I128" s="20" t="n">
        <f aca="false">IFERROR((G128-F128)/F128,0)</f>
        <v>0</v>
      </c>
      <c r="J128" s="17" t="n">
        <v>1</v>
      </c>
      <c r="K128" s="17" t="n">
        <v>2</v>
      </c>
      <c r="L128" s="18" t="n">
        <v>23.93</v>
      </c>
      <c r="M128" s="18" t="n">
        <v>23.93</v>
      </c>
      <c r="R128" s="14" t="n">
        <v>23.93</v>
      </c>
      <c r="T128" s="14" t="n">
        <v>23.93</v>
      </c>
    </row>
    <row r="129" customFormat="false" ht="15" hidden="false" customHeight="false" outlineLevel="0" collapsed="false">
      <c r="A129" s="0" t="s">
        <v>342</v>
      </c>
      <c r="B129" s="0" t="s">
        <v>343</v>
      </c>
      <c r="C129" s="0" t="s">
        <v>339</v>
      </c>
      <c r="D129" s="0" t="s">
        <v>115</v>
      </c>
      <c r="E129" s="0" t="s">
        <v>78</v>
      </c>
      <c r="F129" s="14" t="n">
        <f aca="false">MIN(N129:AE129)</f>
        <v>15.2</v>
      </c>
      <c r="G129" s="14" t="n">
        <f aca="false">MAX(N129:AE129)</f>
        <v>15.2</v>
      </c>
      <c r="H129" s="15" t="n">
        <f aca="false">G129-F129</f>
        <v>0</v>
      </c>
      <c r="I129" s="8" t="n">
        <f aca="false">IFERROR((G129-F129)/F129,0)</f>
        <v>0</v>
      </c>
      <c r="J129" s="0" t="n">
        <v>1</v>
      </c>
      <c r="K129" s="0" t="n">
        <v>1</v>
      </c>
      <c r="L129" s="14" t="n">
        <v>15.2</v>
      </c>
      <c r="M129" s="14" t="n">
        <v>15.2</v>
      </c>
      <c r="T129" s="14" t="n">
        <v>15.2</v>
      </c>
    </row>
    <row r="130" customFormat="false" ht="15" hidden="false" customHeight="false" outlineLevel="0" collapsed="false">
      <c r="A130" s="17" t="s">
        <v>344</v>
      </c>
      <c r="B130" s="17" t="s">
        <v>345</v>
      </c>
      <c r="C130" s="17" t="s">
        <v>339</v>
      </c>
      <c r="D130" s="17" t="s">
        <v>115</v>
      </c>
      <c r="E130" s="17" t="s">
        <v>78</v>
      </c>
      <c r="F130" s="18" t="n">
        <f aca="false">MIN(N130:AE130)</f>
        <v>8.49</v>
      </c>
      <c r="G130" s="18" t="n">
        <f aca="false">MAX(N130:AE130)</f>
        <v>8.49</v>
      </c>
      <c r="H130" s="19" t="n">
        <f aca="false">G130-F130</f>
        <v>0</v>
      </c>
      <c r="I130" s="20" t="n">
        <f aca="false">IFERROR((G130-F130)/F130,0)</f>
        <v>0</v>
      </c>
      <c r="J130" s="17" t="n">
        <v>1</v>
      </c>
      <c r="K130" s="17" t="n">
        <v>1</v>
      </c>
      <c r="L130" s="18" t="n">
        <v>8.49</v>
      </c>
      <c r="M130" s="18" t="n">
        <v>8.49</v>
      </c>
      <c r="T130" s="14" t="n">
        <v>8.49</v>
      </c>
    </row>
    <row r="131" customFormat="false" ht="15" hidden="false" customHeight="false" outlineLevel="0" collapsed="false">
      <c r="A131" s="0" t="s">
        <v>346</v>
      </c>
      <c r="B131" s="0" t="s">
        <v>347</v>
      </c>
      <c r="C131" s="0" t="s">
        <v>348</v>
      </c>
      <c r="D131" s="0" t="s">
        <v>77</v>
      </c>
      <c r="E131" s="0" t="s">
        <v>78</v>
      </c>
      <c r="F131" s="14" t="n">
        <f aca="false">MIN(N131:AE131)</f>
        <v>6.6</v>
      </c>
      <c r="G131" s="14" t="n">
        <f aca="false">MAX(N131:AE131)</f>
        <v>6.6</v>
      </c>
      <c r="H131" s="15" t="n">
        <f aca="false">G131-F131</f>
        <v>0</v>
      </c>
      <c r="I131" s="8" t="n">
        <f aca="false">IFERROR((G131-F131)/F131,0)</f>
        <v>0</v>
      </c>
      <c r="J131" s="0" t="n">
        <v>1</v>
      </c>
      <c r="K131" s="0" t="n">
        <v>2</v>
      </c>
      <c r="L131" s="14" t="n">
        <v>6.6</v>
      </c>
      <c r="M131" s="14" t="n">
        <v>6.6</v>
      </c>
      <c r="U131" s="14" t="n">
        <v>6.6</v>
      </c>
      <c r="W131" s="14" t="n">
        <v>6.6</v>
      </c>
    </row>
    <row r="132" customFormat="false" ht="15" hidden="false" customHeight="false" outlineLevel="0" collapsed="false">
      <c r="A132" s="17" t="s">
        <v>349</v>
      </c>
      <c r="B132" s="17" t="s">
        <v>350</v>
      </c>
      <c r="C132" s="17" t="s">
        <v>348</v>
      </c>
      <c r="D132" s="17" t="s">
        <v>77</v>
      </c>
      <c r="E132" s="17" t="s">
        <v>78</v>
      </c>
      <c r="F132" s="18" t="n">
        <f aca="false">MIN(N132:AE132)</f>
        <v>10.66</v>
      </c>
      <c r="G132" s="18" t="n">
        <f aca="false">MAX(N132:AE132)</f>
        <v>10.66</v>
      </c>
      <c r="H132" s="19" t="n">
        <f aca="false">G132-F132</f>
        <v>0</v>
      </c>
      <c r="I132" s="20" t="n">
        <f aca="false">IFERROR((G132-F132)/F132,0)</f>
        <v>0</v>
      </c>
      <c r="J132" s="17" t="n">
        <v>1</v>
      </c>
      <c r="K132" s="17" t="n">
        <v>1</v>
      </c>
      <c r="L132" s="18" t="n">
        <v>10.66</v>
      </c>
      <c r="M132" s="18" t="n">
        <v>10.66</v>
      </c>
      <c r="T132" s="14" t="n">
        <v>10.66</v>
      </c>
    </row>
    <row r="133" customFormat="false" ht="15" hidden="false" customHeight="false" outlineLevel="0" collapsed="false">
      <c r="A133" s="0" t="s">
        <v>351</v>
      </c>
      <c r="B133" s="0" t="s">
        <v>352</v>
      </c>
      <c r="D133" s="0" t="s">
        <v>115</v>
      </c>
      <c r="E133" s="0" t="s">
        <v>78</v>
      </c>
      <c r="F133" s="14" t="n">
        <f aca="false">MIN(N133:AE133)</f>
        <v>7.25</v>
      </c>
      <c r="G133" s="14" t="n">
        <f aca="false">MAX(N133:AE133)</f>
        <v>7.25</v>
      </c>
      <c r="H133" s="15" t="n">
        <f aca="false">G133-F133</f>
        <v>0</v>
      </c>
      <c r="I133" s="8" t="n">
        <f aca="false">IFERROR((G133-F133)/F133,0)</f>
        <v>0</v>
      </c>
      <c r="J133" s="0" t="n">
        <v>1</v>
      </c>
      <c r="K133" s="0" t="n">
        <v>2</v>
      </c>
      <c r="L133" s="14" t="n">
        <v>7.25</v>
      </c>
      <c r="M133" s="14" t="n">
        <v>7.25</v>
      </c>
      <c r="T133" s="14" t="n">
        <v>7.25</v>
      </c>
      <c r="X133" s="14" t="n">
        <v>7.25</v>
      </c>
    </row>
    <row r="134" customFormat="false" ht="15" hidden="false" customHeight="false" outlineLevel="0" collapsed="false">
      <c r="A134" s="17" t="s">
        <v>353</v>
      </c>
      <c r="B134" s="17" t="s">
        <v>354</v>
      </c>
      <c r="C134" s="17"/>
      <c r="D134" s="17" t="s">
        <v>115</v>
      </c>
      <c r="E134" s="17" t="s">
        <v>78</v>
      </c>
      <c r="F134" s="18" t="n">
        <f aca="false">MIN(N134:AE134)</f>
        <v>8.25</v>
      </c>
      <c r="G134" s="18" t="n">
        <f aca="false">MAX(N134:AE134)</f>
        <v>8.25</v>
      </c>
      <c r="H134" s="19" t="n">
        <f aca="false">G134-F134</f>
        <v>0</v>
      </c>
      <c r="I134" s="20" t="n">
        <f aca="false">IFERROR((G134-F134)/F134,0)</f>
        <v>0</v>
      </c>
      <c r="J134" s="17" t="n">
        <v>1</v>
      </c>
      <c r="K134" s="17" t="n">
        <v>2</v>
      </c>
      <c r="L134" s="18" t="n">
        <v>8.25</v>
      </c>
      <c r="M134" s="18" t="n">
        <v>8.25</v>
      </c>
      <c r="T134" s="14" t="n">
        <v>8.25</v>
      </c>
      <c r="X134" s="14" t="n">
        <v>8.25</v>
      </c>
    </row>
    <row r="135" customFormat="false" ht="15" hidden="false" customHeight="false" outlineLevel="0" collapsed="false">
      <c r="A135" s="0" t="s">
        <v>355</v>
      </c>
      <c r="B135" s="0" t="s">
        <v>356</v>
      </c>
      <c r="D135" s="0" t="s">
        <v>77</v>
      </c>
      <c r="E135" s="0" t="s">
        <v>78</v>
      </c>
      <c r="F135" s="14" t="n">
        <f aca="false">MIN(N135:AE135)</f>
        <v>3.47</v>
      </c>
      <c r="G135" s="14" t="n">
        <f aca="false">MAX(N135:AE135)</f>
        <v>3.47</v>
      </c>
      <c r="H135" s="15" t="n">
        <f aca="false">G135-F135</f>
        <v>0</v>
      </c>
      <c r="I135" s="8" t="n">
        <f aca="false">IFERROR((G135-F135)/F135,0)</f>
        <v>0</v>
      </c>
      <c r="J135" s="0" t="n">
        <v>1</v>
      </c>
      <c r="K135" s="0" t="n">
        <v>1</v>
      </c>
      <c r="L135" s="14" t="n">
        <v>3.47</v>
      </c>
      <c r="M135" s="14" t="n">
        <v>3.47</v>
      </c>
      <c r="P135" s="14" t="n">
        <v>3.47</v>
      </c>
    </row>
    <row r="136" customFormat="false" ht="15" hidden="false" customHeight="false" outlineLevel="0" collapsed="false">
      <c r="A136" s="17" t="s">
        <v>357</v>
      </c>
      <c r="B136" s="17" t="s">
        <v>358</v>
      </c>
      <c r="C136" s="17"/>
      <c r="D136" s="17" t="s">
        <v>77</v>
      </c>
      <c r="E136" s="17" t="s">
        <v>78</v>
      </c>
      <c r="F136" s="18" t="n">
        <f aca="false">MIN(N136:AE136)</f>
        <v>15.01</v>
      </c>
      <c r="G136" s="18" t="n">
        <f aca="false">MAX(N136:AE136)</f>
        <v>15.01</v>
      </c>
      <c r="H136" s="19" t="n">
        <f aca="false">G136-F136</f>
        <v>0</v>
      </c>
      <c r="I136" s="20" t="n">
        <f aca="false">IFERROR((G136-F136)/F136,0)</f>
        <v>0</v>
      </c>
      <c r="J136" s="17" t="n">
        <v>1</v>
      </c>
      <c r="K136" s="17" t="n">
        <v>2</v>
      </c>
      <c r="L136" s="18" t="n">
        <v>15.01</v>
      </c>
      <c r="M136" s="18" t="n">
        <v>15.01</v>
      </c>
      <c r="N136" s="14" t="n">
        <v>15.01</v>
      </c>
      <c r="O136" s="14" t="n">
        <v>15.01</v>
      </c>
    </row>
    <row r="137" customFormat="false" ht="15" hidden="false" customHeight="false" outlineLevel="0" collapsed="false">
      <c r="A137" s="0" t="s">
        <v>359</v>
      </c>
      <c r="B137" s="0" t="s">
        <v>360</v>
      </c>
      <c r="D137" s="0" t="s">
        <v>77</v>
      </c>
      <c r="E137" s="0" t="s">
        <v>78</v>
      </c>
      <c r="F137" s="14" t="n">
        <f aca="false">MIN(N137:AE137)</f>
        <v>4.65</v>
      </c>
      <c r="G137" s="14" t="n">
        <f aca="false">MAX(N137:AE137)</f>
        <v>4.65</v>
      </c>
      <c r="H137" s="15" t="n">
        <f aca="false">G137-F137</f>
        <v>0</v>
      </c>
      <c r="I137" s="8" t="n">
        <f aca="false">IFERROR((G137-F137)/F137,0)</f>
        <v>0</v>
      </c>
      <c r="J137" s="0" t="n">
        <v>1</v>
      </c>
      <c r="K137" s="0" t="n">
        <v>1</v>
      </c>
      <c r="L137" s="14" t="n">
        <v>4.65</v>
      </c>
      <c r="M137" s="14" t="n">
        <v>4.65</v>
      </c>
      <c r="U137" s="16" t="n">
        <v>4.65</v>
      </c>
    </row>
    <row r="138" customFormat="false" ht="15" hidden="false" customHeight="false" outlineLevel="0" collapsed="false">
      <c r="A138" s="17" t="s">
        <v>361</v>
      </c>
      <c r="B138" s="17" t="s">
        <v>362</v>
      </c>
      <c r="C138" s="17"/>
      <c r="D138" s="17" t="s">
        <v>77</v>
      </c>
      <c r="E138" s="17" t="s">
        <v>78</v>
      </c>
      <c r="F138" s="18" t="n">
        <f aca="false">MIN(N138:AE138)</f>
        <v>3.05</v>
      </c>
      <c r="G138" s="18" t="n">
        <f aca="false">MAX(N138:AE138)</f>
        <v>3.05</v>
      </c>
      <c r="H138" s="19" t="n">
        <f aca="false">G138-F138</f>
        <v>0</v>
      </c>
      <c r="I138" s="20" t="n">
        <f aca="false">IFERROR((G138-F138)/F138,0)</f>
        <v>0</v>
      </c>
      <c r="J138" s="17" t="n">
        <v>1</v>
      </c>
      <c r="K138" s="17" t="n">
        <v>1</v>
      </c>
      <c r="L138" s="18" t="n">
        <v>3.05</v>
      </c>
      <c r="M138" s="18" t="n">
        <v>3.05</v>
      </c>
      <c r="U138" s="14" t="n">
        <v>3.05</v>
      </c>
    </row>
    <row r="139" customFormat="false" ht="15" hidden="false" customHeight="false" outlineLevel="0" collapsed="false">
      <c r="A139" s="0" t="s">
        <v>363</v>
      </c>
      <c r="B139" s="0" t="s">
        <v>364</v>
      </c>
      <c r="D139" s="0" t="s">
        <v>77</v>
      </c>
      <c r="E139" s="0" t="s">
        <v>78</v>
      </c>
      <c r="F139" s="14" t="n">
        <f aca="false">MIN(N139:AE139)</f>
        <v>10.37</v>
      </c>
      <c r="G139" s="14" t="n">
        <f aca="false">MAX(N139:AE139)</f>
        <v>10.37</v>
      </c>
      <c r="H139" s="15" t="n">
        <f aca="false">G139-F139</f>
        <v>0</v>
      </c>
      <c r="I139" s="8" t="n">
        <f aca="false">IFERROR((G139-F139)/F139,0)</f>
        <v>0</v>
      </c>
      <c r="J139" s="0" t="n">
        <v>1</v>
      </c>
      <c r="K139" s="0" t="n">
        <v>2</v>
      </c>
      <c r="L139" s="14" t="n">
        <v>10.37</v>
      </c>
      <c r="M139" s="14" t="n">
        <v>10.37</v>
      </c>
      <c r="U139" s="14" t="n">
        <v>10.37</v>
      </c>
      <c r="W139" s="14" t="n">
        <v>10.37</v>
      </c>
    </row>
    <row r="140" customFormat="false" ht="15" hidden="false" customHeight="false" outlineLevel="0" collapsed="false">
      <c r="A140" s="17" t="s">
        <v>365</v>
      </c>
      <c r="B140" s="17" t="s">
        <v>366</v>
      </c>
      <c r="C140" s="17"/>
      <c r="D140" s="17" t="s">
        <v>77</v>
      </c>
      <c r="E140" s="17" t="s">
        <v>78</v>
      </c>
      <c r="F140" s="18" t="n">
        <f aca="false">MIN(N140:AE140)</f>
        <v>19.99</v>
      </c>
      <c r="G140" s="18" t="n">
        <f aca="false">MAX(N140:AE140)</f>
        <v>19.99</v>
      </c>
      <c r="H140" s="19" t="n">
        <f aca="false">G140-F140</f>
        <v>0</v>
      </c>
      <c r="I140" s="20" t="n">
        <f aca="false">IFERROR((G140-F140)/F140,0)</f>
        <v>0</v>
      </c>
      <c r="J140" s="17" t="n">
        <v>1</v>
      </c>
      <c r="K140" s="17" t="n">
        <v>1</v>
      </c>
      <c r="L140" s="18" t="n">
        <v>19.99</v>
      </c>
      <c r="M140" s="18" t="n">
        <v>19.99</v>
      </c>
      <c r="AC140" s="14" t="n">
        <v>19.99</v>
      </c>
    </row>
    <row r="141" customFormat="false" ht="15" hidden="false" customHeight="false" outlineLevel="0" collapsed="false">
      <c r="A141" s="0" t="s">
        <v>367</v>
      </c>
      <c r="B141" s="0" t="s">
        <v>368</v>
      </c>
      <c r="D141" s="0" t="s">
        <v>77</v>
      </c>
      <c r="E141" s="0" t="s">
        <v>78</v>
      </c>
      <c r="F141" s="14" t="n">
        <f aca="false">MIN(N141:AE141)</f>
        <v>17.45</v>
      </c>
      <c r="G141" s="14" t="n">
        <f aca="false">MAX(N141:AE141)</f>
        <v>17.45</v>
      </c>
      <c r="H141" s="15" t="n">
        <f aca="false">G141-F141</f>
        <v>0</v>
      </c>
      <c r="I141" s="8" t="n">
        <f aca="false">IFERROR((G141-F141)/F141,0)</f>
        <v>0</v>
      </c>
      <c r="J141" s="0" t="n">
        <v>1</v>
      </c>
      <c r="K141" s="0" t="n">
        <v>1</v>
      </c>
      <c r="L141" s="14" t="n">
        <v>17.45</v>
      </c>
      <c r="M141" s="14" t="n">
        <v>17.45</v>
      </c>
      <c r="O141" s="14" t="n">
        <v>17.45</v>
      </c>
    </row>
    <row r="142" customFormat="false" ht="15" hidden="false" customHeight="false" outlineLevel="0" collapsed="false">
      <c r="A142" s="17" t="s">
        <v>369</v>
      </c>
      <c r="B142" s="17" t="s">
        <v>370</v>
      </c>
      <c r="C142" s="17"/>
      <c r="D142" s="17" t="s">
        <v>77</v>
      </c>
      <c r="E142" s="17" t="s">
        <v>78</v>
      </c>
      <c r="F142" s="18" t="n">
        <f aca="false">MIN(N142:AE142)</f>
        <v>7.74</v>
      </c>
      <c r="G142" s="18" t="n">
        <f aca="false">MAX(N142:AE142)</f>
        <v>7.74</v>
      </c>
      <c r="H142" s="19" t="n">
        <f aca="false">G142-F142</f>
        <v>0</v>
      </c>
      <c r="I142" s="20" t="n">
        <f aca="false">IFERROR((G142-F142)/F142,0)</f>
        <v>0</v>
      </c>
      <c r="J142" s="17" t="n">
        <v>1</v>
      </c>
      <c r="K142" s="17" t="n">
        <v>1</v>
      </c>
      <c r="L142" s="18" t="n">
        <v>7.74</v>
      </c>
      <c r="M142" s="18" t="n">
        <v>7.74</v>
      </c>
      <c r="Q142" s="14" t="n">
        <v>7.74</v>
      </c>
    </row>
  </sheetData>
  <autoFilter ref="A4:AE142"/>
  <mergeCells count="2">
    <mergeCell ref="A1:F1"/>
    <mergeCell ref="A2:F2"/>
  </mergeCells>
  <conditionalFormatting sqref="N5:AE5">
    <cfRule type="colorScale" priority="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:AE6">
    <cfRule type="colorScale" priority="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:AE7">
    <cfRule type="colorScale" priority="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:AE8">
    <cfRule type="colorScale" priority="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:AE9">
    <cfRule type="colorScale" priority="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:AE10">
    <cfRule type="colorScale" priority="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:AE11">
    <cfRule type="colorScale" priority="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:AE12">
    <cfRule type="colorScale" priority="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:AE13">
    <cfRule type="colorScale" priority="1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4:AE14">
    <cfRule type="colorScale" priority="1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5:AE15">
    <cfRule type="colorScale" priority="1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6:AE16">
    <cfRule type="colorScale" priority="1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7:AE17">
    <cfRule type="colorScale" priority="1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8:AE18">
    <cfRule type="colorScale" priority="1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9:AE19">
    <cfRule type="colorScale" priority="1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0:AE20">
    <cfRule type="colorScale" priority="1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1:AE21">
    <cfRule type="colorScale" priority="1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2:AE22">
    <cfRule type="colorScale" priority="1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3:AE23">
    <cfRule type="colorScale" priority="2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4:AE24">
    <cfRule type="colorScale" priority="2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5:AE25">
    <cfRule type="colorScale" priority="2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6:AE26">
    <cfRule type="colorScale" priority="2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7:AE27">
    <cfRule type="colorScale" priority="2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8:AE28">
    <cfRule type="colorScale" priority="2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29:AE29">
    <cfRule type="colorScale" priority="2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0:AE30">
    <cfRule type="colorScale" priority="2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1:AE31">
    <cfRule type="colorScale" priority="2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2:AE32">
    <cfRule type="colorScale" priority="2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3:AE33">
    <cfRule type="colorScale" priority="3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4:AE34">
    <cfRule type="colorScale" priority="3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5:AE35">
    <cfRule type="colorScale" priority="3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6:AE36">
    <cfRule type="colorScale" priority="3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7:AE37">
    <cfRule type="colorScale" priority="3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8:AE38">
    <cfRule type="colorScale" priority="3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39:AE39">
    <cfRule type="colorScale" priority="3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0:AE40">
    <cfRule type="colorScale" priority="3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1:AE41">
    <cfRule type="colorScale" priority="3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2:AE42">
    <cfRule type="colorScale" priority="3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3:AE43">
    <cfRule type="colorScale" priority="4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4:AE44">
    <cfRule type="colorScale" priority="4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5:AE45">
    <cfRule type="colorScale" priority="4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6:AE46">
    <cfRule type="colorScale" priority="4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7:AE47">
    <cfRule type="colorScale" priority="4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8:AE48">
    <cfRule type="colorScale" priority="4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49:AE49">
    <cfRule type="colorScale" priority="4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0:AE50">
    <cfRule type="colorScale" priority="4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1:AE51">
    <cfRule type="colorScale" priority="4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2:AE52">
    <cfRule type="colorScale" priority="4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3:AE53">
    <cfRule type="colorScale" priority="5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4:AE54">
    <cfRule type="colorScale" priority="5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5:AE55">
    <cfRule type="colorScale" priority="5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6:AE56">
    <cfRule type="colorScale" priority="5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7:AE57">
    <cfRule type="colorScale" priority="5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8:AE58">
    <cfRule type="colorScale" priority="5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59:AE59">
    <cfRule type="colorScale" priority="5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0:AE60">
    <cfRule type="colorScale" priority="5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1:AE61">
    <cfRule type="colorScale" priority="5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2:AE62">
    <cfRule type="colorScale" priority="5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3:AE63">
    <cfRule type="colorScale" priority="6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4:AE64">
    <cfRule type="colorScale" priority="6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5:AE65">
    <cfRule type="colorScale" priority="6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6:AE66">
    <cfRule type="colorScale" priority="6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7:AE67">
    <cfRule type="colorScale" priority="6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8:AE68">
    <cfRule type="colorScale" priority="6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69:AE69">
    <cfRule type="colorScale" priority="6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0:AE70">
    <cfRule type="colorScale" priority="6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1:AE71">
    <cfRule type="colorScale" priority="6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2:AE72">
    <cfRule type="colorScale" priority="6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3:AE73">
    <cfRule type="colorScale" priority="7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4:AE74">
    <cfRule type="colorScale" priority="7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5:AE75">
    <cfRule type="colorScale" priority="7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6:AE76">
    <cfRule type="colorScale" priority="7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7:AE77">
    <cfRule type="colorScale" priority="7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8:AE78">
    <cfRule type="colorScale" priority="7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79:AE79">
    <cfRule type="colorScale" priority="7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0:AE80">
    <cfRule type="colorScale" priority="7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1:AE81">
    <cfRule type="colorScale" priority="7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2:AE82">
    <cfRule type="colorScale" priority="7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3:AE83">
    <cfRule type="colorScale" priority="8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4:AE84">
    <cfRule type="colorScale" priority="8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5:AE85">
    <cfRule type="colorScale" priority="8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6:AE86">
    <cfRule type="colorScale" priority="8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7:AE87">
    <cfRule type="colorScale" priority="8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8:AE88">
    <cfRule type="colorScale" priority="8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89:AE89">
    <cfRule type="colorScale" priority="8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0:AE90">
    <cfRule type="colorScale" priority="8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1:AE91">
    <cfRule type="colorScale" priority="8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2:AE92">
    <cfRule type="colorScale" priority="8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3:AE93">
    <cfRule type="colorScale" priority="9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4:AE94">
    <cfRule type="colorScale" priority="9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5:AE95">
    <cfRule type="colorScale" priority="9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6:AE96">
    <cfRule type="colorScale" priority="9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7:AE97">
    <cfRule type="colorScale" priority="9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8:AE98">
    <cfRule type="colorScale" priority="9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99:AE99">
    <cfRule type="colorScale" priority="9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0:AE100">
    <cfRule type="colorScale" priority="9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1:AE101">
    <cfRule type="colorScale" priority="9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2:AE102">
    <cfRule type="colorScale" priority="9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3:AE103">
    <cfRule type="colorScale" priority="10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4:AE104">
    <cfRule type="colorScale" priority="10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5:AE105">
    <cfRule type="colorScale" priority="10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6:AE106">
    <cfRule type="colorScale" priority="10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7:AE107">
    <cfRule type="colorScale" priority="10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8:AE108">
    <cfRule type="colorScale" priority="10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09:AE109">
    <cfRule type="colorScale" priority="10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0:AE110">
    <cfRule type="colorScale" priority="10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1:AE111">
    <cfRule type="colorScale" priority="10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2:AE112">
    <cfRule type="colorScale" priority="10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3:AE113">
    <cfRule type="colorScale" priority="11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4:AE114">
    <cfRule type="colorScale" priority="11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5:AE115">
    <cfRule type="colorScale" priority="11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6:AE116">
    <cfRule type="colorScale" priority="11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7:AE117">
    <cfRule type="colorScale" priority="11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8:AE118">
    <cfRule type="colorScale" priority="11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19:AE119">
    <cfRule type="colorScale" priority="11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0:AE120">
    <cfRule type="colorScale" priority="11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1:AE121">
    <cfRule type="colorScale" priority="11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2:AE122">
    <cfRule type="colorScale" priority="11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3:AE123">
    <cfRule type="colorScale" priority="12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4:AE124">
    <cfRule type="colorScale" priority="12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5:AE125">
    <cfRule type="colorScale" priority="12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6:AE126">
    <cfRule type="colorScale" priority="12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7:AE127">
    <cfRule type="colorScale" priority="12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8:AE128">
    <cfRule type="colorScale" priority="12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29:AE129">
    <cfRule type="colorScale" priority="12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0:AE130">
    <cfRule type="colorScale" priority="12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1:AE131">
    <cfRule type="colorScale" priority="12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2:AE132">
    <cfRule type="colorScale" priority="12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3:AE133">
    <cfRule type="colorScale" priority="130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4:AE134">
    <cfRule type="colorScale" priority="131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5:AE135">
    <cfRule type="colorScale" priority="132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6:AE136">
    <cfRule type="colorScale" priority="133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7:AE137">
    <cfRule type="colorScale" priority="134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8:AE138">
    <cfRule type="colorScale" priority="135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39:AE139">
    <cfRule type="colorScale" priority="136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40:AE140">
    <cfRule type="colorScale" priority="137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41:AE141">
    <cfRule type="colorScale" priority="138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conditionalFormatting sqref="N142:AE142">
    <cfRule type="colorScale" priority="139">
      <colorScale>
        <cfvo type="min" val="0"/>
        <cfvo type="percentile" val="50"/>
        <cfvo type="max" val="0"/>
        <color rgb="FFC6EFCE"/>
        <color rgb="FFFFEB9C"/>
        <color rgb="FFF8CBA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9" min="7" style="0" width="11"/>
    <col collapsed="false" customWidth="true" hidden="false" outlineLevel="0" max="10" min="10" style="0" width="13"/>
    <col collapsed="false" customWidth="true" hidden="false" outlineLevel="0" max="12" min="11" style="0" width="11"/>
  </cols>
  <sheetData>
    <row r="1" customFormat="false" ht="19.7" hidden="false" customHeight="false" outlineLevel="0" collapsed="false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8.3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47</v>
      </c>
      <c r="E4" s="3" t="s">
        <v>373</v>
      </c>
      <c r="F4" s="3" t="s">
        <v>52</v>
      </c>
      <c r="G4" s="3" t="s">
        <v>48</v>
      </c>
      <c r="H4" s="3" t="s">
        <v>49</v>
      </c>
      <c r="I4" s="3" t="s">
        <v>54</v>
      </c>
      <c r="J4" s="3" t="s">
        <v>55</v>
      </c>
      <c r="K4" s="3" t="s">
        <v>374</v>
      </c>
      <c r="L4" s="3" t="s">
        <v>51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81</v>
      </c>
      <c r="D5" s="0" t="s">
        <v>78</v>
      </c>
      <c r="E5" s="0" t="n">
        <v>6</v>
      </c>
      <c r="F5" s="0" t="n">
        <v>3</v>
      </c>
      <c r="G5" s="14" t="n">
        <v>13.12</v>
      </c>
      <c r="H5" s="14" t="n">
        <v>20.45</v>
      </c>
      <c r="I5" s="14" t="n">
        <v>13.12</v>
      </c>
      <c r="J5" s="14" t="n">
        <v>20.45</v>
      </c>
      <c r="K5" s="15" t="n">
        <f aca="false">J5-I5</f>
        <v>7.33</v>
      </c>
      <c r="L5" s="8" t="n">
        <f aca="false">IFERROR((J5-I5)/I5,0)</f>
        <v>0.558689024390244</v>
      </c>
    </row>
    <row r="6" customFormat="false" ht="15" hidden="false" customHeight="false" outlineLevel="0" collapsed="false">
      <c r="A6" s="0" t="s">
        <v>142</v>
      </c>
      <c r="B6" s="0" t="s">
        <v>143</v>
      </c>
      <c r="C6" s="0" t="s">
        <v>81</v>
      </c>
      <c r="D6" s="0" t="s">
        <v>78</v>
      </c>
      <c r="E6" s="0" t="n">
        <v>5</v>
      </c>
      <c r="F6" s="0" t="n">
        <v>3</v>
      </c>
      <c r="G6" s="14" t="n">
        <v>13.64</v>
      </c>
      <c r="H6" s="14" t="n">
        <v>20.45</v>
      </c>
      <c r="I6" s="14" t="n">
        <v>13.64</v>
      </c>
      <c r="J6" s="14" t="n">
        <v>20.45</v>
      </c>
      <c r="K6" s="15" t="n">
        <f aca="false">J6-I6</f>
        <v>6.81</v>
      </c>
      <c r="L6" s="8" t="n">
        <f aca="false">IFERROR((J6-I6)/I6,0)</f>
        <v>0.499266862170088</v>
      </c>
    </row>
    <row r="7" customFormat="false" ht="15" hidden="false" customHeight="false" outlineLevel="0" collapsed="false">
      <c r="A7" s="0" t="s">
        <v>148</v>
      </c>
      <c r="B7" s="0" t="s">
        <v>149</v>
      </c>
      <c r="C7" s="0" t="s">
        <v>81</v>
      </c>
      <c r="D7" s="0" t="s">
        <v>78</v>
      </c>
      <c r="E7" s="0" t="n">
        <v>7</v>
      </c>
      <c r="F7" s="0" t="n">
        <v>2</v>
      </c>
      <c r="G7" s="14" t="n">
        <v>12.91</v>
      </c>
      <c r="H7" s="14" t="n">
        <v>19.26</v>
      </c>
      <c r="I7" s="14" t="n">
        <v>12.91</v>
      </c>
      <c r="J7" s="14" t="n">
        <v>19.26</v>
      </c>
      <c r="K7" s="15" t="n">
        <f aca="false">J7-I7</f>
        <v>6.35</v>
      </c>
      <c r="L7" s="8" t="n">
        <f aca="false">IFERROR((J7-I7)/I7,0)</f>
        <v>0.491866769945779</v>
      </c>
    </row>
    <row r="8" customFormat="false" ht="15" hidden="false" customHeight="false" outlineLevel="0" collapsed="false">
      <c r="A8" s="0" t="s">
        <v>99</v>
      </c>
      <c r="B8" s="0" t="s">
        <v>100</v>
      </c>
      <c r="C8" s="0" t="s">
        <v>81</v>
      </c>
      <c r="D8" s="0" t="s">
        <v>78</v>
      </c>
      <c r="E8" s="0" t="n">
        <v>6</v>
      </c>
      <c r="F8" s="0" t="n">
        <v>3</v>
      </c>
      <c r="G8" s="14" t="n">
        <v>11.75</v>
      </c>
      <c r="H8" s="14" t="n">
        <v>17.24</v>
      </c>
      <c r="I8" s="14" t="n">
        <v>11.75</v>
      </c>
      <c r="J8" s="14" t="n">
        <v>17.24</v>
      </c>
      <c r="K8" s="15" t="n">
        <f aca="false">J8-I8</f>
        <v>5.49</v>
      </c>
      <c r="L8" s="8" t="n">
        <f aca="false">IFERROR((J8-I8)/I8,0)</f>
        <v>0.467234042553191</v>
      </c>
    </row>
    <row r="9" customFormat="false" ht="15" hidden="false" customHeight="false" outlineLevel="0" collapsed="false">
      <c r="A9" s="0" t="s">
        <v>136</v>
      </c>
      <c r="B9" s="0" t="s">
        <v>137</v>
      </c>
      <c r="C9" s="0" t="s">
        <v>81</v>
      </c>
      <c r="D9" s="0" t="s">
        <v>78</v>
      </c>
      <c r="E9" s="0" t="n">
        <v>6</v>
      </c>
      <c r="F9" s="0" t="n">
        <v>2</v>
      </c>
      <c r="G9" s="14" t="n">
        <v>16.55</v>
      </c>
      <c r="H9" s="14" t="n">
        <v>23.98</v>
      </c>
      <c r="I9" s="14" t="n">
        <v>16.55</v>
      </c>
      <c r="J9" s="14" t="n">
        <v>23.98</v>
      </c>
      <c r="K9" s="15" t="n">
        <f aca="false">J9-I9</f>
        <v>7.43</v>
      </c>
      <c r="L9" s="8" t="n">
        <f aca="false">IFERROR((J9-I9)/I9,0)</f>
        <v>0.448942598187311</v>
      </c>
    </row>
    <row r="10" customFormat="false" ht="15" hidden="false" customHeight="false" outlineLevel="0" collapsed="false">
      <c r="A10" s="0" t="s">
        <v>79</v>
      </c>
      <c r="B10" s="0" t="s">
        <v>80</v>
      </c>
      <c r="C10" s="0" t="s">
        <v>81</v>
      </c>
      <c r="D10" s="0" t="s">
        <v>78</v>
      </c>
      <c r="E10" s="0" t="n">
        <v>8</v>
      </c>
      <c r="F10" s="0" t="n">
        <v>5</v>
      </c>
      <c r="G10" s="14" t="n">
        <v>12.72</v>
      </c>
      <c r="H10" s="14" t="n">
        <v>19.47</v>
      </c>
      <c r="I10" s="14" t="n">
        <v>12.75</v>
      </c>
      <c r="J10" s="14" t="n">
        <v>18.46</v>
      </c>
      <c r="K10" s="15" t="n">
        <f aca="false">J10-I10</f>
        <v>5.71</v>
      </c>
      <c r="L10" s="8" t="n">
        <f aca="false">IFERROR((J10-I10)/I10,0)</f>
        <v>0.447843137254902</v>
      </c>
    </row>
    <row r="11" customFormat="false" ht="15" hidden="false" customHeight="false" outlineLevel="0" collapsed="false">
      <c r="A11" s="0" t="s">
        <v>154</v>
      </c>
      <c r="B11" s="0" t="s">
        <v>155</v>
      </c>
      <c r="C11" s="0" t="s">
        <v>81</v>
      </c>
      <c r="D11" s="0" t="s">
        <v>78</v>
      </c>
      <c r="E11" s="0" t="n">
        <v>5</v>
      </c>
      <c r="F11" s="0" t="n">
        <v>3</v>
      </c>
      <c r="G11" s="14" t="n">
        <v>12.02</v>
      </c>
      <c r="H11" s="14" t="n">
        <v>16.88</v>
      </c>
      <c r="I11" s="14" t="n">
        <v>12.26</v>
      </c>
      <c r="J11" s="14" t="n">
        <v>16.88</v>
      </c>
      <c r="K11" s="15" t="n">
        <f aca="false">J11-I11</f>
        <v>4.62</v>
      </c>
      <c r="L11" s="8" t="n">
        <f aca="false">IFERROR((J11-I11)/I11,0)</f>
        <v>0.376835236541599</v>
      </c>
    </row>
    <row r="12" customFormat="false" ht="15" hidden="false" customHeight="false" outlineLevel="0" collapsed="false">
      <c r="A12" s="0" t="s">
        <v>105</v>
      </c>
      <c r="B12" s="0" t="s">
        <v>106</v>
      </c>
      <c r="C12" s="0" t="s">
        <v>81</v>
      </c>
      <c r="D12" s="0" t="s">
        <v>78</v>
      </c>
      <c r="E12" s="0" t="n">
        <v>4</v>
      </c>
      <c r="F12" s="0" t="n">
        <v>4</v>
      </c>
      <c r="G12" s="14" t="n">
        <v>13.99</v>
      </c>
      <c r="H12" s="14" t="n">
        <v>20.64</v>
      </c>
      <c r="I12" s="14" t="n">
        <v>15.12</v>
      </c>
      <c r="J12" s="14" t="n">
        <v>20.64</v>
      </c>
      <c r="K12" s="15" t="n">
        <f aca="false">J12-I12</f>
        <v>5.52</v>
      </c>
      <c r="L12" s="8" t="n">
        <f aca="false">IFERROR((J12-I12)/I12,0)</f>
        <v>0.365079365079365</v>
      </c>
    </row>
    <row r="13" customFormat="false" ht="15" hidden="false" customHeight="false" outlineLevel="0" collapsed="false">
      <c r="A13" s="0" t="s">
        <v>150</v>
      </c>
      <c r="B13" s="0" t="s">
        <v>151</v>
      </c>
      <c r="C13" s="0" t="s">
        <v>81</v>
      </c>
      <c r="D13" s="0" t="s">
        <v>78</v>
      </c>
      <c r="E13" s="0" t="n">
        <v>3</v>
      </c>
      <c r="F13" s="0" t="n">
        <v>3</v>
      </c>
      <c r="G13" s="14" t="n">
        <v>15.4</v>
      </c>
      <c r="H13" s="14" t="n">
        <v>20.98</v>
      </c>
      <c r="I13" s="14" t="n">
        <v>15.4</v>
      </c>
      <c r="J13" s="14" t="n">
        <v>20.98</v>
      </c>
      <c r="K13" s="15" t="n">
        <f aca="false">J13-I13</f>
        <v>5.58</v>
      </c>
      <c r="L13" s="8" t="n">
        <f aca="false">IFERROR((J13-I13)/I13,0)</f>
        <v>0.362337662337662</v>
      </c>
    </row>
    <row r="14" customFormat="false" ht="15" hidden="false" customHeight="false" outlineLevel="0" collapsed="false">
      <c r="A14" s="0" t="s">
        <v>103</v>
      </c>
      <c r="B14" s="0" t="s">
        <v>104</v>
      </c>
      <c r="C14" s="0" t="s">
        <v>81</v>
      </c>
      <c r="D14" s="0" t="s">
        <v>78</v>
      </c>
      <c r="E14" s="0" t="n">
        <v>6</v>
      </c>
      <c r="F14" s="0" t="n">
        <v>3</v>
      </c>
      <c r="G14" s="14" t="n">
        <v>14.7</v>
      </c>
      <c r="H14" s="14" t="n">
        <v>19.74</v>
      </c>
      <c r="I14" s="14" t="n">
        <v>14.7</v>
      </c>
      <c r="J14" s="14" t="n">
        <v>19.74</v>
      </c>
      <c r="K14" s="15" t="n">
        <f aca="false">J14-I14</f>
        <v>5.04</v>
      </c>
      <c r="L14" s="8" t="n">
        <f aca="false">IFERROR((J14-I14)/I14,0)</f>
        <v>0.342857142857143</v>
      </c>
    </row>
    <row r="15" customFormat="false" ht="15" hidden="false" customHeight="false" outlineLevel="0" collapsed="false">
      <c r="A15" s="0" t="s">
        <v>90</v>
      </c>
      <c r="B15" s="0" t="s">
        <v>91</v>
      </c>
      <c r="C15" s="0" t="s">
        <v>81</v>
      </c>
      <c r="D15" s="0" t="s">
        <v>78</v>
      </c>
      <c r="E15" s="0" t="n">
        <v>7</v>
      </c>
      <c r="F15" s="0" t="n">
        <v>2</v>
      </c>
      <c r="G15" s="14" t="n">
        <v>14.67</v>
      </c>
      <c r="H15" s="14" t="n">
        <v>19.58</v>
      </c>
      <c r="I15" s="14" t="n">
        <v>14.67</v>
      </c>
      <c r="J15" s="14" t="n">
        <v>19.58</v>
      </c>
      <c r="K15" s="15" t="n">
        <f aca="false">J15-I15</f>
        <v>4.91</v>
      </c>
      <c r="L15" s="8" t="n">
        <f aca="false">IFERROR((J15-I15)/I15,0)</f>
        <v>0.334696659850034</v>
      </c>
    </row>
    <row r="16" customFormat="false" ht="15" hidden="false" customHeight="false" outlineLevel="0" collapsed="false">
      <c r="A16" s="0" t="s">
        <v>146</v>
      </c>
      <c r="B16" s="0" t="s">
        <v>147</v>
      </c>
      <c r="C16" s="0" t="s">
        <v>81</v>
      </c>
      <c r="D16" s="0" t="s">
        <v>78</v>
      </c>
      <c r="E16" s="0" t="n">
        <v>5</v>
      </c>
      <c r="F16" s="0" t="n">
        <v>2</v>
      </c>
      <c r="G16" s="14" t="n">
        <v>13.92</v>
      </c>
      <c r="H16" s="14" t="n">
        <v>18.53</v>
      </c>
      <c r="I16" s="14" t="n">
        <v>13.92</v>
      </c>
      <c r="J16" s="14" t="n">
        <v>18.53</v>
      </c>
      <c r="K16" s="15" t="n">
        <f aca="false">J16-I16</f>
        <v>4.61</v>
      </c>
      <c r="L16" s="8" t="n">
        <f aca="false">IFERROR((J16-I16)/I16,0)</f>
        <v>0.33117816091954</v>
      </c>
    </row>
    <row r="17" customFormat="false" ht="15" hidden="false" customHeight="false" outlineLevel="0" collapsed="false">
      <c r="A17" s="0" t="s">
        <v>86</v>
      </c>
      <c r="B17" s="0" t="s">
        <v>87</v>
      </c>
      <c r="C17" s="0" t="s">
        <v>81</v>
      </c>
      <c r="D17" s="0" t="s">
        <v>78</v>
      </c>
      <c r="E17" s="0" t="n">
        <v>9</v>
      </c>
      <c r="F17" s="0" t="n">
        <v>2</v>
      </c>
      <c r="G17" s="14" t="n">
        <v>16.83</v>
      </c>
      <c r="H17" s="14" t="n">
        <v>22.12</v>
      </c>
      <c r="I17" s="14" t="n">
        <v>16.83</v>
      </c>
      <c r="J17" s="14" t="n">
        <v>22.12</v>
      </c>
      <c r="K17" s="15" t="n">
        <f aca="false">J17-I17</f>
        <v>5.29</v>
      </c>
      <c r="L17" s="8" t="n">
        <f aca="false">IFERROR((J17-I17)/I17,0)</f>
        <v>0.314319667260844</v>
      </c>
    </row>
    <row r="18" customFormat="false" ht="15" hidden="false" customHeight="false" outlineLevel="0" collapsed="false">
      <c r="A18" s="0" t="s">
        <v>84</v>
      </c>
      <c r="B18" s="0" t="s">
        <v>85</v>
      </c>
      <c r="C18" s="0" t="s">
        <v>81</v>
      </c>
      <c r="D18" s="0" t="s">
        <v>78</v>
      </c>
      <c r="E18" s="0" t="n">
        <v>8</v>
      </c>
      <c r="F18" s="0" t="n">
        <v>2</v>
      </c>
      <c r="G18" s="14" t="n">
        <v>16.83</v>
      </c>
      <c r="H18" s="14" t="n">
        <v>22.03</v>
      </c>
      <c r="I18" s="14" t="n">
        <v>16.83</v>
      </c>
      <c r="J18" s="14" t="n">
        <v>22.03</v>
      </c>
      <c r="K18" s="15" t="n">
        <f aca="false">J18-I18</f>
        <v>5.2</v>
      </c>
      <c r="L18" s="8" t="n">
        <f aca="false">IFERROR((J18-I18)/I18,0)</f>
        <v>0.308972073677956</v>
      </c>
    </row>
    <row r="19" customFormat="false" ht="15" hidden="false" customHeight="false" outlineLevel="0" collapsed="false">
      <c r="A19" s="0" t="s">
        <v>124</v>
      </c>
      <c r="B19" s="0" t="s">
        <v>125</v>
      </c>
      <c r="C19" s="0" t="s">
        <v>76</v>
      </c>
      <c r="D19" s="0" t="s">
        <v>78</v>
      </c>
      <c r="E19" s="0" t="n">
        <v>8</v>
      </c>
      <c r="F19" s="0" t="n">
        <v>2</v>
      </c>
      <c r="G19" s="14" t="n">
        <v>9.63</v>
      </c>
      <c r="H19" s="14" t="n">
        <v>12.55</v>
      </c>
      <c r="I19" s="14" t="n">
        <v>9.63</v>
      </c>
      <c r="J19" s="14" t="n">
        <v>12.55</v>
      </c>
      <c r="K19" s="15" t="n">
        <f aca="false">J19-I19</f>
        <v>2.92</v>
      </c>
      <c r="L19" s="8" t="n">
        <f aca="false">IFERROR((J19-I19)/I19,0)</f>
        <v>0.303219106957425</v>
      </c>
    </row>
    <row r="20" customFormat="false" ht="15" hidden="false" customHeight="false" outlineLevel="0" collapsed="false">
      <c r="A20" s="0" t="s">
        <v>113</v>
      </c>
      <c r="B20" s="0" t="s">
        <v>114</v>
      </c>
      <c r="C20" s="0" t="s">
        <v>76</v>
      </c>
      <c r="D20" s="0" t="s">
        <v>78</v>
      </c>
      <c r="E20" s="0" t="n">
        <v>6</v>
      </c>
      <c r="F20" s="0" t="n">
        <v>3</v>
      </c>
      <c r="G20" s="14" t="n">
        <v>11.81</v>
      </c>
      <c r="H20" s="14" t="n">
        <v>15.16</v>
      </c>
      <c r="I20" s="14" t="n">
        <v>11.81</v>
      </c>
      <c r="J20" s="14" t="n">
        <v>15.16</v>
      </c>
      <c r="K20" s="15" t="n">
        <f aca="false">J20-I20</f>
        <v>3.35</v>
      </c>
      <c r="L20" s="8" t="n">
        <f aca="false">IFERROR((J20-I20)/I20,0)</f>
        <v>0.283657917019475</v>
      </c>
    </row>
    <row r="21" customFormat="false" ht="15" hidden="false" customHeight="false" outlineLevel="0" collapsed="false">
      <c r="A21" s="0" t="s">
        <v>156</v>
      </c>
      <c r="B21" s="0" t="s">
        <v>157</v>
      </c>
      <c r="C21" s="0" t="s">
        <v>76</v>
      </c>
      <c r="D21" s="0" t="s">
        <v>78</v>
      </c>
      <c r="E21" s="0" t="n">
        <v>5</v>
      </c>
      <c r="F21" s="0" t="n">
        <v>2</v>
      </c>
      <c r="G21" s="14" t="n">
        <v>3.58</v>
      </c>
      <c r="H21" s="14" t="n">
        <v>4.55</v>
      </c>
      <c r="I21" s="14" t="n">
        <v>3.58</v>
      </c>
      <c r="J21" s="14" t="n">
        <v>4.55</v>
      </c>
      <c r="K21" s="15" t="n">
        <f aca="false">J21-I21</f>
        <v>0.97</v>
      </c>
      <c r="L21" s="8" t="n">
        <f aca="false">IFERROR((J21-I21)/I21,0)</f>
        <v>0.270949720670391</v>
      </c>
    </row>
    <row r="22" customFormat="false" ht="15" hidden="false" customHeight="false" outlineLevel="0" collapsed="false">
      <c r="A22" s="0" t="s">
        <v>101</v>
      </c>
      <c r="B22" s="0" t="s">
        <v>102</v>
      </c>
      <c r="C22" s="0" t="s">
        <v>81</v>
      </c>
      <c r="D22" s="0" t="s">
        <v>78</v>
      </c>
      <c r="E22" s="0" t="n">
        <v>6</v>
      </c>
      <c r="F22" s="0" t="n">
        <v>3</v>
      </c>
      <c r="G22" s="14" t="n">
        <v>19.23</v>
      </c>
      <c r="H22" s="14" t="n">
        <v>24.41</v>
      </c>
      <c r="I22" s="14" t="n">
        <v>19.23</v>
      </c>
      <c r="J22" s="14" t="n">
        <v>24.41</v>
      </c>
      <c r="K22" s="15" t="n">
        <f aca="false">J22-I22</f>
        <v>5.18</v>
      </c>
      <c r="L22" s="8" t="n">
        <f aca="false">IFERROR((J22-I22)/I22,0)</f>
        <v>0.269370774830993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0" t="s">
        <v>81</v>
      </c>
      <c r="D23" s="0" t="s">
        <v>78</v>
      </c>
      <c r="E23" s="0" t="n">
        <v>10</v>
      </c>
      <c r="F23" s="0" t="n">
        <v>2</v>
      </c>
      <c r="G23" s="14" t="n">
        <v>15.3</v>
      </c>
      <c r="H23" s="14" t="n">
        <v>19.32</v>
      </c>
      <c r="I23" s="14" t="n">
        <v>15.3</v>
      </c>
      <c r="J23" s="14" t="n">
        <v>19.32</v>
      </c>
      <c r="K23" s="15" t="n">
        <f aca="false">J23-I23</f>
        <v>4.02</v>
      </c>
      <c r="L23" s="8" t="n">
        <f aca="false">IFERROR((J23-I23)/I23,0)</f>
        <v>0.262745098039216</v>
      </c>
    </row>
    <row r="24" customFormat="false" ht="15" hidden="false" customHeight="false" outlineLevel="0" collapsed="false">
      <c r="A24" s="0" t="s">
        <v>116</v>
      </c>
      <c r="B24" s="0" t="s">
        <v>117</v>
      </c>
      <c r="C24" s="0" t="s">
        <v>76</v>
      </c>
      <c r="D24" s="0" t="s">
        <v>78</v>
      </c>
      <c r="E24" s="0" t="n">
        <v>6</v>
      </c>
      <c r="F24" s="0" t="n">
        <v>2</v>
      </c>
      <c r="G24" s="14" t="n">
        <v>13.46</v>
      </c>
      <c r="H24" s="14" t="n">
        <v>16.84</v>
      </c>
      <c r="I24" s="14" t="n">
        <v>13.46</v>
      </c>
      <c r="J24" s="14" t="n">
        <v>16.84</v>
      </c>
      <c r="K24" s="15" t="n">
        <f aca="false">J24-I24</f>
        <v>3.38</v>
      </c>
      <c r="L24" s="8" t="n">
        <f aca="false">IFERROR((J24-I24)/I24,0)</f>
        <v>0.25111441307578</v>
      </c>
    </row>
    <row r="25" customFormat="false" ht="15" hidden="false" customHeight="false" outlineLevel="0" collapsed="false">
      <c r="A25" s="0" t="s">
        <v>132</v>
      </c>
      <c r="B25" s="0" t="s">
        <v>133</v>
      </c>
      <c r="C25" s="0" t="s">
        <v>98</v>
      </c>
      <c r="D25" s="0" t="s">
        <v>78</v>
      </c>
      <c r="E25" s="0" t="n">
        <v>4</v>
      </c>
      <c r="F25" s="0" t="n">
        <v>2</v>
      </c>
      <c r="G25" s="14" t="n">
        <v>5.38</v>
      </c>
      <c r="H25" s="14" t="n">
        <v>6.73</v>
      </c>
      <c r="I25" s="14" t="n">
        <v>5.38</v>
      </c>
      <c r="J25" s="14" t="n">
        <v>6.73</v>
      </c>
      <c r="K25" s="15" t="n">
        <f aca="false">J25-I25</f>
        <v>1.35</v>
      </c>
      <c r="L25" s="8" t="n">
        <f aca="false">IFERROR((J25-I25)/I25,0)</f>
        <v>0.25092936802974</v>
      </c>
    </row>
    <row r="26" customFormat="false" ht="15" hidden="false" customHeight="false" outlineLevel="0" collapsed="false">
      <c r="A26" s="0" t="s">
        <v>74</v>
      </c>
      <c r="B26" s="0" t="s">
        <v>75</v>
      </c>
      <c r="C26" s="0" t="s">
        <v>76</v>
      </c>
      <c r="D26" s="0" t="s">
        <v>78</v>
      </c>
      <c r="E26" s="0" t="n">
        <v>7</v>
      </c>
      <c r="F26" s="0" t="n">
        <v>4</v>
      </c>
      <c r="G26" s="14" t="n">
        <v>21.92</v>
      </c>
      <c r="H26" s="14" t="n">
        <v>26.8</v>
      </c>
      <c r="I26" s="14" t="n">
        <v>21.92</v>
      </c>
      <c r="J26" s="14" t="n">
        <v>26.8</v>
      </c>
      <c r="K26" s="15" t="n">
        <f aca="false">J26-I26</f>
        <v>4.88</v>
      </c>
      <c r="L26" s="8" t="n">
        <f aca="false">IFERROR((J26-I26)/I26,0)</f>
        <v>0.222627737226277</v>
      </c>
    </row>
    <row r="27" customFormat="false" ht="15" hidden="false" customHeight="false" outlineLevel="0" collapsed="false">
      <c r="A27" s="0" t="s">
        <v>82</v>
      </c>
      <c r="B27" s="0" t="s">
        <v>83</v>
      </c>
      <c r="C27" s="0" t="s">
        <v>76</v>
      </c>
      <c r="D27" s="0" t="s">
        <v>78</v>
      </c>
      <c r="E27" s="0" t="n">
        <v>6</v>
      </c>
      <c r="F27" s="0" t="n">
        <v>3</v>
      </c>
      <c r="G27" s="14" t="n">
        <v>21.92</v>
      </c>
      <c r="H27" s="14" t="n">
        <v>26.78</v>
      </c>
      <c r="I27" s="14" t="n">
        <v>21.92</v>
      </c>
      <c r="J27" s="14" t="n">
        <v>26.78</v>
      </c>
      <c r="K27" s="15" t="n">
        <f aca="false">J27-I27</f>
        <v>4.86</v>
      </c>
      <c r="L27" s="8" t="n">
        <f aca="false">IFERROR((J27-I27)/I27,0)</f>
        <v>0.221715328467153</v>
      </c>
    </row>
    <row r="28" customFormat="false" ht="15" hidden="false" customHeight="false" outlineLevel="0" collapsed="false">
      <c r="A28" s="0" t="s">
        <v>120</v>
      </c>
      <c r="B28" s="0" t="s">
        <v>121</v>
      </c>
      <c r="C28" s="0" t="s">
        <v>76</v>
      </c>
      <c r="D28" s="0" t="s">
        <v>78</v>
      </c>
      <c r="E28" s="0" t="n">
        <v>5</v>
      </c>
      <c r="F28" s="0" t="n">
        <v>2</v>
      </c>
      <c r="G28" s="14" t="n">
        <v>20.39</v>
      </c>
      <c r="H28" s="14" t="n">
        <v>24.52</v>
      </c>
      <c r="I28" s="14" t="n">
        <v>20.39</v>
      </c>
      <c r="J28" s="14" t="n">
        <v>24.52</v>
      </c>
      <c r="K28" s="15" t="n">
        <f aca="false">J28-I28</f>
        <v>4.13</v>
      </c>
      <c r="L28" s="8" t="n">
        <f aca="false">IFERROR((J28-I28)/I28,0)</f>
        <v>0.202550269740069</v>
      </c>
    </row>
    <row r="29" customFormat="false" ht="15" hidden="false" customHeight="false" outlineLevel="0" collapsed="false">
      <c r="A29" s="0" t="s">
        <v>186</v>
      </c>
      <c r="B29" s="0" t="s">
        <v>187</v>
      </c>
      <c r="C29" s="0" t="s">
        <v>188</v>
      </c>
      <c r="D29" s="0" t="s">
        <v>78</v>
      </c>
      <c r="E29" s="0" t="n">
        <v>9</v>
      </c>
      <c r="F29" s="0" t="n">
        <v>2</v>
      </c>
      <c r="G29" s="14" t="n">
        <v>5.23</v>
      </c>
      <c r="H29" s="14" t="n">
        <v>6.26</v>
      </c>
      <c r="I29" s="14" t="n">
        <v>5.23</v>
      </c>
      <c r="J29" s="14" t="n">
        <v>6.26</v>
      </c>
      <c r="K29" s="15" t="n">
        <f aca="false">J29-I29</f>
        <v>1.03</v>
      </c>
      <c r="L29" s="8" t="n">
        <f aca="false">IFERROR((J29-I29)/I29,0)</f>
        <v>0.196940726577438</v>
      </c>
    </row>
    <row r="30" customFormat="false" ht="15" hidden="false" customHeight="false" outlineLevel="0" collapsed="false">
      <c r="A30" s="0" t="s">
        <v>118</v>
      </c>
      <c r="B30" s="0" t="s">
        <v>119</v>
      </c>
      <c r="C30" s="0" t="s">
        <v>76</v>
      </c>
      <c r="D30" s="0" t="s">
        <v>78</v>
      </c>
      <c r="E30" s="0" t="n">
        <v>5</v>
      </c>
      <c r="F30" s="0" t="n">
        <v>3</v>
      </c>
      <c r="G30" s="14" t="n">
        <v>14.9</v>
      </c>
      <c r="H30" s="14" t="n">
        <v>17.71</v>
      </c>
      <c r="I30" s="14" t="n">
        <v>14.9</v>
      </c>
      <c r="J30" s="14" t="n">
        <v>17.71</v>
      </c>
      <c r="K30" s="15" t="n">
        <f aca="false">J30-I30</f>
        <v>2.81</v>
      </c>
      <c r="L30" s="8" t="n">
        <f aca="false">IFERROR((J30-I30)/I30,0)</f>
        <v>0.188590604026846</v>
      </c>
    </row>
    <row r="31" customFormat="false" ht="15" hidden="false" customHeight="false" outlineLevel="0" collapsed="false">
      <c r="A31" s="0" t="s">
        <v>128</v>
      </c>
      <c r="B31" s="0" t="s">
        <v>129</v>
      </c>
      <c r="C31" s="0" t="s">
        <v>98</v>
      </c>
      <c r="D31" s="0" t="s">
        <v>78</v>
      </c>
      <c r="E31" s="0" t="n">
        <v>6</v>
      </c>
      <c r="F31" s="0" t="n">
        <v>2</v>
      </c>
      <c r="G31" s="14" t="n">
        <v>15.19</v>
      </c>
      <c r="H31" s="14" t="n">
        <v>18.03</v>
      </c>
      <c r="I31" s="14" t="n">
        <v>15.19</v>
      </c>
      <c r="J31" s="14" t="n">
        <v>18.03</v>
      </c>
      <c r="K31" s="15" t="n">
        <f aca="false">J31-I31</f>
        <v>2.84</v>
      </c>
      <c r="L31" s="8" t="n">
        <f aca="false">IFERROR((J31-I31)/I31,0)</f>
        <v>0.186965108624095</v>
      </c>
    </row>
    <row r="32" customFormat="false" ht="15" hidden="false" customHeight="false" outlineLevel="0" collapsed="false">
      <c r="A32" s="0" t="s">
        <v>170</v>
      </c>
      <c r="B32" s="0" t="s">
        <v>171</v>
      </c>
      <c r="C32" s="0" t="s">
        <v>76</v>
      </c>
      <c r="D32" s="0" t="s">
        <v>78</v>
      </c>
      <c r="E32" s="0" t="n">
        <v>2</v>
      </c>
      <c r="F32" s="0" t="n">
        <v>2</v>
      </c>
      <c r="G32" s="14" t="n">
        <v>23.9</v>
      </c>
      <c r="H32" s="14" t="n">
        <v>27.85</v>
      </c>
      <c r="I32" s="14" t="n">
        <v>23.9</v>
      </c>
      <c r="J32" s="14" t="n">
        <v>27.85</v>
      </c>
      <c r="K32" s="15" t="n">
        <f aca="false">J32-I32</f>
        <v>3.95</v>
      </c>
      <c r="L32" s="8" t="n">
        <f aca="false">IFERROR((J32-I32)/I32,0)</f>
        <v>0.165271966527197</v>
      </c>
    </row>
    <row r="33" customFormat="false" ht="15" hidden="false" customHeight="false" outlineLevel="0" collapsed="false">
      <c r="A33" s="0" t="s">
        <v>92</v>
      </c>
      <c r="B33" s="0" t="s">
        <v>93</v>
      </c>
      <c r="C33" s="0" t="s">
        <v>76</v>
      </c>
      <c r="D33" s="0" t="s">
        <v>78</v>
      </c>
      <c r="E33" s="0" t="n">
        <v>5</v>
      </c>
      <c r="F33" s="0" t="n">
        <v>3</v>
      </c>
      <c r="G33" s="14" t="n">
        <v>14.17</v>
      </c>
      <c r="H33" s="14" t="n">
        <v>16.51</v>
      </c>
      <c r="I33" s="14" t="n">
        <v>14.17</v>
      </c>
      <c r="J33" s="14" t="n">
        <v>16.51</v>
      </c>
      <c r="K33" s="15" t="n">
        <f aca="false">J33-I33</f>
        <v>2.34</v>
      </c>
      <c r="L33" s="8" t="n">
        <f aca="false">IFERROR((J33-I33)/I33,0)</f>
        <v>0.165137614678899</v>
      </c>
    </row>
    <row r="34" customFormat="false" ht="15" hidden="false" customHeight="false" outlineLevel="0" collapsed="false">
      <c r="A34" s="0" t="s">
        <v>126</v>
      </c>
      <c r="B34" s="0" t="s">
        <v>127</v>
      </c>
      <c r="C34" s="0" t="s">
        <v>76</v>
      </c>
      <c r="D34" s="0" t="s">
        <v>78</v>
      </c>
      <c r="E34" s="0" t="n">
        <v>5</v>
      </c>
      <c r="F34" s="0" t="n">
        <v>3</v>
      </c>
      <c r="G34" s="14" t="n">
        <v>16.68</v>
      </c>
      <c r="H34" s="14" t="n">
        <v>19.43</v>
      </c>
      <c r="I34" s="14" t="n">
        <v>16.68</v>
      </c>
      <c r="J34" s="14" t="n">
        <v>19.43</v>
      </c>
      <c r="K34" s="15" t="n">
        <f aca="false">J34-I34</f>
        <v>2.75</v>
      </c>
      <c r="L34" s="8" t="n">
        <f aca="false">IFERROR((J34-I34)/I34,0)</f>
        <v>0.164868105515588</v>
      </c>
    </row>
    <row r="35" customFormat="false" ht="15" hidden="false" customHeight="false" outlineLevel="0" collapsed="false">
      <c r="A35" s="0" t="s">
        <v>161</v>
      </c>
      <c r="B35" s="0" t="s">
        <v>162</v>
      </c>
      <c r="C35" s="0" t="s">
        <v>76</v>
      </c>
      <c r="D35" s="0" t="s">
        <v>78</v>
      </c>
      <c r="E35" s="0" t="n">
        <v>3</v>
      </c>
      <c r="F35" s="0" t="n">
        <v>2</v>
      </c>
      <c r="G35" s="14" t="n">
        <v>22.9</v>
      </c>
      <c r="H35" s="14" t="n">
        <v>26.42</v>
      </c>
      <c r="I35" s="14" t="n">
        <v>22.9</v>
      </c>
      <c r="J35" s="14" t="n">
        <v>26.42</v>
      </c>
      <c r="K35" s="15" t="n">
        <f aca="false">J35-I35</f>
        <v>3.52</v>
      </c>
      <c r="L35" s="8" t="n">
        <f aca="false">IFERROR((J35-I35)/I35,0)</f>
        <v>0.153711790393013</v>
      </c>
    </row>
    <row r="36" customFormat="false" ht="15" hidden="false" customHeight="false" outlineLevel="0" collapsed="false">
      <c r="A36" s="0" t="s">
        <v>172</v>
      </c>
      <c r="B36" s="0" t="s">
        <v>173</v>
      </c>
      <c r="C36" s="0" t="s">
        <v>169</v>
      </c>
      <c r="D36" s="0" t="s">
        <v>78</v>
      </c>
      <c r="E36" s="0" t="n">
        <v>4</v>
      </c>
      <c r="F36" s="0" t="n">
        <v>2</v>
      </c>
      <c r="G36" s="14" t="n">
        <v>10.48</v>
      </c>
      <c r="H36" s="14" t="n">
        <v>12</v>
      </c>
      <c r="I36" s="14" t="n">
        <v>10.48</v>
      </c>
      <c r="J36" s="14" t="n">
        <v>12</v>
      </c>
      <c r="K36" s="15" t="n">
        <f aca="false">J36-I36</f>
        <v>1.52</v>
      </c>
      <c r="L36" s="8" t="n">
        <f aca="false">IFERROR((J36-I36)/I36,0)</f>
        <v>0.145038167938931</v>
      </c>
    </row>
    <row r="37" customFormat="false" ht="15" hidden="false" customHeight="false" outlineLevel="0" collapsed="false">
      <c r="A37" s="0" t="s">
        <v>176</v>
      </c>
      <c r="B37" s="0" t="s">
        <v>177</v>
      </c>
      <c r="C37" s="0" t="s">
        <v>98</v>
      </c>
      <c r="D37" s="0" t="s">
        <v>78</v>
      </c>
      <c r="E37" s="0" t="n">
        <v>2</v>
      </c>
      <c r="F37" s="0" t="n">
        <v>2</v>
      </c>
      <c r="G37" s="14" t="n">
        <v>9.93</v>
      </c>
      <c r="H37" s="14" t="n">
        <v>11.33</v>
      </c>
      <c r="I37" s="14" t="n">
        <v>9.93</v>
      </c>
      <c r="J37" s="14" t="n">
        <v>11.33</v>
      </c>
      <c r="K37" s="15" t="n">
        <f aca="false">J37-I37</f>
        <v>1.4</v>
      </c>
      <c r="L37" s="8" t="n">
        <f aca="false">IFERROR((J37-I37)/I37,0)</f>
        <v>0.14098690835851</v>
      </c>
    </row>
    <row r="38" customFormat="false" ht="15" hidden="false" customHeight="false" outlineLevel="0" collapsed="false">
      <c r="A38" s="0" t="s">
        <v>122</v>
      </c>
      <c r="B38" s="0" t="s">
        <v>123</v>
      </c>
      <c r="C38" s="0" t="s">
        <v>76</v>
      </c>
      <c r="D38" s="0" t="s">
        <v>78</v>
      </c>
      <c r="E38" s="0" t="n">
        <v>5</v>
      </c>
      <c r="F38" s="0" t="n">
        <v>2</v>
      </c>
      <c r="G38" s="14" t="n">
        <v>11.42</v>
      </c>
      <c r="H38" s="14" t="n">
        <v>13.03</v>
      </c>
      <c r="I38" s="14" t="n">
        <v>11.42</v>
      </c>
      <c r="J38" s="14" t="n">
        <v>13.03</v>
      </c>
      <c r="K38" s="15" t="n">
        <f aca="false">J38-I38</f>
        <v>1.61</v>
      </c>
      <c r="L38" s="8" t="n">
        <f aca="false">IFERROR((J38-I38)/I38,0)</f>
        <v>0.140980735551664</v>
      </c>
    </row>
    <row r="39" customFormat="false" ht="15" hidden="false" customHeight="false" outlineLevel="0" collapsed="false">
      <c r="A39" s="0" t="s">
        <v>94</v>
      </c>
      <c r="B39" s="0" t="s">
        <v>95</v>
      </c>
      <c r="C39" s="0" t="s">
        <v>76</v>
      </c>
      <c r="D39" s="0" t="s">
        <v>78</v>
      </c>
      <c r="E39" s="0" t="n">
        <v>6</v>
      </c>
      <c r="F39" s="0" t="n">
        <v>3</v>
      </c>
      <c r="G39" s="14" t="n">
        <v>18.89</v>
      </c>
      <c r="H39" s="14" t="n">
        <v>21.54</v>
      </c>
      <c r="I39" s="14" t="n">
        <v>18.89</v>
      </c>
      <c r="J39" s="14" t="n">
        <v>21.54</v>
      </c>
      <c r="K39" s="15" t="n">
        <f aca="false">J39-I39</f>
        <v>2.65</v>
      </c>
      <c r="L39" s="8" t="n">
        <f aca="false">IFERROR((J39-I39)/I39,0)</f>
        <v>0.140285865537321</v>
      </c>
    </row>
    <row r="40" customFormat="false" ht="15" hidden="false" customHeight="false" outlineLevel="0" collapsed="false">
      <c r="A40" s="0" t="s">
        <v>96</v>
      </c>
      <c r="B40" s="0" t="s">
        <v>97</v>
      </c>
      <c r="C40" s="0" t="s">
        <v>98</v>
      </c>
      <c r="D40" s="0" t="s">
        <v>78</v>
      </c>
      <c r="E40" s="0" t="n">
        <v>6</v>
      </c>
      <c r="F40" s="0" t="n">
        <v>3</v>
      </c>
      <c r="G40" s="14" t="n">
        <v>17.79</v>
      </c>
      <c r="H40" s="14" t="n">
        <v>20.28</v>
      </c>
      <c r="I40" s="14" t="n">
        <v>17.79</v>
      </c>
      <c r="J40" s="14" t="n">
        <v>20.28</v>
      </c>
      <c r="K40" s="15" t="n">
        <f aca="false">J40-I40</f>
        <v>2.49</v>
      </c>
      <c r="L40" s="8" t="n">
        <f aca="false">IFERROR((J40-I40)/I40,0)</f>
        <v>0.139966273187184</v>
      </c>
    </row>
    <row r="41" customFormat="false" ht="15" hidden="false" customHeight="false" outlineLevel="0" collapsed="false">
      <c r="A41" s="0" t="s">
        <v>130</v>
      </c>
      <c r="B41" s="0" t="s">
        <v>131</v>
      </c>
      <c r="C41" s="0" t="s">
        <v>98</v>
      </c>
      <c r="D41" s="0" t="s">
        <v>78</v>
      </c>
      <c r="E41" s="0" t="n">
        <v>6</v>
      </c>
      <c r="F41" s="0" t="n">
        <v>3</v>
      </c>
      <c r="G41" s="14" t="n">
        <v>4.41</v>
      </c>
      <c r="H41" s="14" t="n">
        <v>5.02</v>
      </c>
      <c r="I41" s="14" t="n">
        <v>4.41</v>
      </c>
      <c r="J41" s="14" t="n">
        <v>5.02</v>
      </c>
      <c r="K41" s="15" t="n">
        <f aca="false">J41-I41</f>
        <v>0.609999999999999</v>
      </c>
      <c r="L41" s="8" t="n">
        <f aca="false">IFERROR((J41-I41)/I41,0)</f>
        <v>0.138321995464852</v>
      </c>
    </row>
    <row r="42" customFormat="false" ht="15" hidden="false" customHeight="false" outlineLevel="0" collapsed="false">
      <c r="A42" s="0" t="s">
        <v>140</v>
      </c>
      <c r="B42" s="0" t="s">
        <v>141</v>
      </c>
      <c r="C42" s="0" t="s">
        <v>81</v>
      </c>
      <c r="D42" s="0" t="s">
        <v>78</v>
      </c>
      <c r="E42" s="0" t="n">
        <v>4</v>
      </c>
      <c r="F42" s="0" t="n">
        <v>2</v>
      </c>
      <c r="G42" s="14" t="n">
        <v>15.04</v>
      </c>
      <c r="H42" s="14" t="n">
        <v>17.05</v>
      </c>
      <c r="I42" s="14" t="n">
        <v>15.04</v>
      </c>
      <c r="J42" s="14" t="n">
        <v>17.05</v>
      </c>
      <c r="K42" s="15" t="n">
        <f aca="false">J42-I42</f>
        <v>2.01</v>
      </c>
      <c r="L42" s="8" t="n">
        <f aca="false">IFERROR((J42-I42)/I42,0)</f>
        <v>0.133643617021277</v>
      </c>
    </row>
    <row r="43" customFormat="false" ht="15" hidden="false" customHeight="false" outlineLevel="0" collapsed="false">
      <c r="A43" s="0" t="s">
        <v>163</v>
      </c>
      <c r="B43" s="0" t="s">
        <v>164</v>
      </c>
      <c r="C43" s="0" t="s">
        <v>76</v>
      </c>
      <c r="D43" s="0" t="s">
        <v>78</v>
      </c>
      <c r="E43" s="0" t="n">
        <v>4</v>
      </c>
      <c r="F43" s="0" t="n">
        <v>2</v>
      </c>
      <c r="G43" s="14" t="n">
        <v>21.22</v>
      </c>
      <c r="H43" s="14" t="n">
        <v>24</v>
      </c>
      <c r="I43" s="14" t="n">
        <v>21.22</v>
      </c>
      <c r="J43" s="14" t="n">
        <v>24</v>
      </c>
      <c r="K43" s="15" t="n">
        <f aca="false">J43-I43</f>
        <v>2.78</v>
      </c>
      <c r="L43" s="8" t="n">
        <f aca="false">IFERROR((J43-I43)/I43,0)</f>
        <v>0.131008482563619</v>
      </c>
    </row>
    <row r="44" customFormat="false" ht="15" hidden="false" customHeight="false" outlineLevel="0" collapsed="false">
      <c r="A44" s="0" t="s">
        <v>189</v>
      </c>
      <c r="B44" s="0" t="s">
        <v>190</v>
      </c>
      <c r="C44" s="0" t="s">
        <v>188</v>
      </c>
      <c r="D44" s="0" t="s">
        <v>78</v>
      </c>
      <c r="E44" s="0" t="n">
        <v>6</v>
      </c>
      <c r="F44" s="0" t="n">
        <v>2</v>
      </c>
      <c r="G44" s="14" t="n">
        <v>2.65</v>
      </c>
      <c r="H44" s="14" t="n">
        <v>2.94</v>
      </c>
      <c r="I44" s="14" t="n">
        <v>2.65</v>
      </c>
      <c r="J44" s="14" t="n">
        <v>2.94</v>
      </c>
      <c r="K44" s="15" t="n">
        <f aca="false">J44-I44</f>
        <v>0.29</v>
      </c>
      <c r="L44" s="8" t="n">
        <f aca="false">IFERROR((J44-I44)/I44,0)</f>
        <v>0.109433962264151</v>
      </c>
    </row>
    <row r="45" customFormat="false" ht="15" hidden="false" customHeight="false" outlineLevel="0" collapsed="false">
      <c r="A45" s="0" t="s">
        <v>138</v>
      </c>
      <c r="B45" s="0" t="s">
        <v>139</v>
      </c>
      <c r="C45" s="0" t="s">
        <v>81</v>
      </c>
      <c r="D45" s="0" t="s">
        <v>78</v>
      </c>
      <c r="E45" s="0" t="n">
        <v>3</v>
      </c>
      <c r="F45" s="0" t="n">
        <v>2</v>
      </c>
      <c r="G45" s="14" t="n">
        <v>12.99</v>
      </c>
      <c r="H45" s="14" t="n">
        <v>14.3</v>
      </c>
      <c r="I45" s="14" t="n">
        <v>12.99</v>
      </c>
      <c r="J45" s="14" t="n">
        <v>14.3</v>
      </c>
      <c r="K45" s="15" t="n">
        <f aca="false">J45-I45</f>
        <v>1.31</v>
      </c>
      <c r="L45" s="8" t="n">
        <f aca="false">IFERROR((J45-I45)/I45,0)</f>
        <v>0.100846805234796</v>
      </c>
    </row>
    <row r="46" customFormat="false" ht="15" hidden="false" customHeight="false" outlineLevel="0" collapsed="false">
      <c r="A46" s="0" t="s">
        <v>165</v>
      </c>
      <c r="B46" s="0" t="s">
        <v>166</v>
      </c>
      <c r="C46" s="0" t="s">
        <v>160</v>
      </c>
      <c r="D46" s="0" t="s">
        <v>78</v>
      </c>
      <c r="E46" s="0" t="n">
        <v>2</v>
      </c>
      <c r="F46" s="0" t="n">
        <v>2</v>
      </c>
      <c r="G46" s="14" t="n">
        <v>7.26</v>
      </c>
      <c r="H46" s="14" t="n">
        <v>7.69</v>
      </c>
      <c r="I46" s="14" t="n">
        <v>7.26</v>
      </c>
      <c r="J46" s="14" t="n">
        <v>7.69</v>
      </c>
      <c r="K46" s="15" t="n">
        <f aca="false">J46-I46</f>
        <v>0.430000000000001</v>
      </c>
      <c r="L46" s="8" t="n">
        <f aca="false">IFERROR((J46-I46)/I46,0)</f>
        <v>0.0592286501377411</v>
      </c>
    </row>
    <row r="47" customFormat="false" ht="15" hidden="false" customHeight="false" outlineLevel="0" collapsed="false">
      <c r="A47" s="0" t="s">
        <v>191</v>
      </c>
      <c r="B47" s="0" t="s">
        <v>192</v>
      </c>
      <c r="C47" s="0" t="s">
        <v>81</v>
      </c>
      <c r="D47" s="0" t="s">
        <v>78</v>
      </c>
      <c r="E47" s="0" t="n">
        <v>2</v>
      </c>
      <c r="F47" s="0" t="n">
        <v>2</v>
      </c>
      <c r="G47" s="14" t="n">
        <v>15.97</v>
      </c>
      <c r="H47" s="14" t="n">
        <v>16.97</v>
      </c>
      <c r="I47" s="14" t="n">
        <v>16.97</v>
      </c>
      <c r="J47" s="14" t="n">
        <v>15.97</v>
      </c>
      <c r="K47" s="15" t="n">
        <f aca="false">J47-I47</f>
        <v>-0.999999999999998</v>
      </c>
      <c r="L47" s="8" t="n">
        <f aca="false">IFERROR((J47-I47)/I47,0)</f>
        <v>-0.0589275191514436</v>
      </c>
    </row>
    <row r="48" customFormat="false" ht="15" hidden="false" customHeight="false" outlineLevel="0" collapsed="false">
      <c r="A48" s="0" t="s">
        <v>193</v>
      </c>
      <c r="B48" s="0" t="s">
        <v>194</v>
      </c>
      <c r="D48" s="0" t="s">
        <v>78</v>
      </c>
      <c r="E48" s="0" t="n">
        <v>4</v>
      </c>
      <c r="F48" s="0" t="n">
        <v>2</v>
      </c>
      <c r="G48" s="14" t="n">
        <v>13.95</v>
      </c>
      <c r="H48" s="14" t="n">
        <v>14.2</v>
      </c>
      <c r="I48" s="14" t="n">
        <v>13.95</v>
      </c>
      <c r="J48" s="14" t="n">
        <v>14.2</v>
      </c>
      <c r="K48" s="15" t="n">
        <f aca="false">J48-I48</f>
        <v>0.25</v>
      </c>
      <c r="L48" s="8" t="n">
        <f aca="false">IFERROR((J48-I48)/I48,0)</f>
        <v>0.017921146953405</v>
      </c>
    </row>
    <row r="49" customFormat="false" ht="15" hidden="false" customHeight="false" outlineLevel="0" collapsed="false">
      <c r="A49" s="0" t="s">
        <v>183</v>
      </c>
      <c r="B49" s="0" t="s">
        <v>184</v>
      </c>
      <c r="C49" s="0" t="s">
        <v>185</v>
      </c>
      <c r="D49" s="0" t="s">
        <v>78</v>
      </c>
      <c r="E49" s="0" t="n">
        <v>3</v>
      </c>
      <c r="F49" s="0" t="n">
        <v>2</v>
      </c>
      <c r="G49" s="14" t="n">
        <v>11.64</v>
      </c>
      <c r="H49" s="14" t="n">
        <v>11.79</v>
      </c>
      <c r="I49" s="14" t="n">
        <v>11.64</v>
      </c>
      <c r="J49" s="14" t="n">
        <v>11.79</v>
      </c>
      <c r="K49" s="15" t="n">
        <f aca="false">J49-I49</f>
        <v>0.149999999999999</v>
      </c>
      <c r="L49" s="8" t="n">
        <f aca="false">IFERROR((J49-I49)/I49,0)</f>
        <v>0.0128865979381442</v>
      </c>
    </row>
    <row r="50" customFormat="false" ht="15" hidden="false" customHeight="false" outlineLevel="0" collapsed="false">
      <c r="A50" s="0" t="s">
        <v>178</v>
      </c>
      <c r="B50" s="0" t="s">
        <v>179</v>
      </c>
      <c r="C50" s="0" t="s">
        <v>98</v>
      </c>
      <c r="D50" s="0" t="s">
        <v>78</v>
      </c>
      <c r="E50" s="0" t="n">
        <v>3</v>
      </c>
      <c r="F50" s="0" t="n">
        <v>2</v>
      </c>
      <c r="G50" s="14" t="n">
        <v>17.36</v>
      </c>
      <c r="H50" s="14" t="n">
        <v>17.53</v>
      </c>
      <c r="I50" s="14" t="n">
        <v>17.36</v>
      </c>
      <c r="J50" s="14" t="n">
        <v>17.53</v>
      </c>
      <c r="K50" s="15" t="n">
        <f aca="false">J50-I50</f>
        <v>0.170000000000002</v>
      </c>
      <c r="L50" s="8" t="n">
        <f aca="false">IFERROR((J50-I50)/I50,0)</f>
        <v>0.0097926267281107</v>
      </c>
    </row>
    <row r="51" customFormat="false" ht="15" hidden="false" customHeight="false" outlineLevel="0" collapsed="false">
      <c r="A51" s="0" t="s">
        <v>134</v>
      </c>
      <c r="B51" s="0" t="s">
        <v>135</v>
      </c>
      <c r="C51" s="0" t="s">
        <v>81</v>
      </c>
      <c r="D51" s="0" t="s">
        <v>78</v>
      </c>
      <c r="E51" s="0" t="n">
        <v>7</v>
      </c>
      <c r="F51" s="0" t="n">
        <v>3</v>
      </c>
      <c r="G51" s="14" t="n">
        <v>15.31</v>
      </c>
      <c r="H51" s="14" t="n">
        <v>15.42</v>
      </c>
      <c r="I51" s="14" t="n">
        <v>15.31</v>
      </c>
      <c r="J51" s="14" t="n">
        <v>15.42</v>
      </c>
      <c r="K51" s="15" t="n">
        <f aca="false">J51-I51</f>
        <v>0.109999999999999</v>
      </c>
      <c r="L51" s="8" t="n">
        <f aca="false">IFERROR((J51-I51)/I51,0)</f>
        <v>0.00718484650555189</v>
      </c>
    </row>
    <row r="52" customFormat="false" ht="15" hidden="false" customHeight="false" outlineLevel="0" collapsed="false">
      <c r="A52" s="0" t="s">
        <v>195</v>
      </c>
      <c r="B52" s="0" t="s">
        <v>196</v>
      </c>
      <c r="D52" s="0" t="s">
        <v>78</v>
      </c>
      <c r="E52" s="0" t="n">
        <v>3</v>
      </c>
      <c r="F52" s="0" t="n">
        <v>2</v>
      </c>
      <c r="G52" s="14" t="n">
        <v>16.49</v>
      </c>
      <c r="H52" s="14" t="n">
        <v>16.58</v>
      </c>
      <c r="I52" s="14" t="n">
        <v>16.49</v>
      </c>
      <c r="J52" s="14" t="n">
        <v>16.58</v>
      </c>
      <c r="K52" s="15" t="n">
        <f aca="false">J52-I52</f>
        <v>0.0899999999999999</v>
      </c>
      <c r="L52" s="8" t="n">
        <f aca="false">IFERROR((J52-I52)/I52,0)</f>
        <v>0.00545785324439053</v>
      </c>
    </row>
    <row r="53" customFormat="false" ht="15" hidden="false" customHeight="false" outlineLevel="0" collapsed="false">
      <c r="A53" s="0" t="s">
        <v>107</v>
      </c>
      <c r="B53" s="0" t="s">
        <v>108</v>
      </c>
      <c r="C53" s="0" t="s">
        <v>81</v>
      </c>
      <c r="D53" s="0" t="s">
        <v>78</v>
      </c>
      <c r="E53" s="0" t="n">
        <v>5</v>
      </c>
      <c r="F53" s="0" t="n">
        <v>3</v>
      </c>
      <c r="G53" s="14" t="n">
        <v>15.91</v>
      </c>
      <c r="H53" s="14" t="n">
        <v>15.99</v>
      </c>
      <c r="I53" s="14" t="n">
        <v>15.91</v>
      </c>
      <c r="J53" s="14" t="n">
        <v>15.99</v>
      </c>
      <c r="K53" s="15" t="n">
        <f aca="false">J53-I53</f>
        <v>0.0800000000000001</v>
      </c>
      <c r="L53" s="8" t="n">
        <f aca="false">IFERROR((J53-I53)/I53,0)</f>
        <v>0.00502828409805154</v>
      </c>
    </row>
    <row r="54" customFormat="false" ht="15" hidden="false" customHeight="false" outlineLevel="0" collapsed="false">
      <c r="A54" s="0" t="s">
        <v>180</v>
      </c>
      <c r="B54" s="0" t="s">
        <v>181</v>
      </c>
      <c r="C54" s="0" t="s">
        <v>182</v>
      </c>
      <c r="D54" s="0" t="s">
        <v>78</v>
      </c>
      <c r="E54" s="0" t="n">
        <v>2</v>
      </c>
      <c r="F54" s="0" t="n">
        <v>2</v>
      </c>
      <c r="G54" s="14" t="n">
        <v>8.64</v>
      </c>
      <c r="H54" s="14" t="n">
        <v>8.65</v>
      </c>
      <c r="I54" s="14" t="n">
        <v>8.64</v>
      </c>
      <c r="J54" s="14" t="n">
        <v>8.65</v>
      </c>
      <c r="K54" s="15" t="n">
        <f aca="false">J54-I54</f>
        <v>0.00999999999999979</v>
      </c>
      <c r="L54" s="8" t="n">
        <f aca="false">IFERROR((J54-I54)/I54,0)</f>
        <v>0.00115740740740738</v>
      </c>
    </row>
  </sheetData>
  <autoFilter ref="A4:L54"/>
  <mergeCells count="2">
    <mergeCell ref="A1:L1"/>
    <mergeCell ref="A2:L2"/>
  </mergeCells>
  <conditionalFormatting sqref="K5:L54">
    <cfRule type="cellIs" priority="2" operator="greaterThan" aboveAverage="0" equalAverage="0" bottom="0" percent="0" rank="0" text="" dxfId="35">
      <formula>0</formula>
    </cfRule>
    <cfRule type="cellIs" priority="3" operator="lessThan" aboveAverage="0" equalAverage="0" bottom="0" percent="0" rank="0" text="" dxfId="3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35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8"/>
  </cols>
  <sheetData>
    <row r="1" customFormat="false" ht="19.7" hidden="false" customHeight="false" outlineLevel="0" collapsed="false">
      <c r="A1" s="1" t="s">
        <v>375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8.35" hidden="false" customHeight="false" outlineLevel="0" collapsed="false">
      <c r="A4" s="3" t="s">
        <v>377</v>
      </c>
      <c r="B4" s="3" t="s">
        <v>3</v>
      </c>
      <c r="C4" s="3" t="s">
        <v>4</v>
      </c>
      <c r="D4" s="3" t="s">
        <v>45</v>
      </c>
      <c r="E4" s="3" t="s">
        <v>43</v>
      </c>
      <c r="F4" s="3" t="s">
        <v>44</v>
      </c>
      <c r="G4" s="3" t="s">
        <v>378</v>
      </c>
      <c r="H4" s="3" t="s">
        <v>379</v>
      </c>
      <c r="I4" s="3" t="s">
        <v>380</v>
      </c>
      <c r="J4" s="3" t="s">
        <v>381</v>
      </c>
      <c r="K4" s="3" t="s">
        <v>382</v>
      </c>
      <c r="L4" s="3" t="s">
        <v>383</v>
      </c>
      <c r="M4" s="3" t="s">
        <v>384</v>
      </c>
      <c r="N4" s="3" t="s">
        <v>46</v>
      </c>
      <c r="O4" s="3" t="s">
        <v>385</v>
      </c>
    </row>
    <row r="5" customFormat="false" ht="15" hidden="false" customHeight="false" outlineLevel="0" collapsed="false">
      <c r="A5" s="21" t="n">
        <v>45967</v>
      </c>
      <c r="B5" s="22" t="s">
        <v>11</v>
      </c>
      <c r="C5" s="22" t="s">
        <v>12</v>
      </c>
      <c r="D5" s="22"/>
      <c r="E5" s="22" t="s">
        <v>152</v>
      </c>
      <c r="F5" s="22" t="s">
        <v>153</v>
      </c>
      <c r="G5" s="22" t="s">
        <v>386</v>
      </c>
      <c r="H5" s="16" t="n">
        <v>0.54</v>
      </c>
      <c r="I5" s="16" t="n">
        <v>12.96</v>
      </c>
      <c r="J5" s="22" t="n">
        <v>24</v>
      </c>
      <c r="K5" s="22"/>
      <c r="L5" s="22" t="n">
        <v>1</v>
      </c>
      <c r="M5" s="23" t="n">
        <v>12.96</v>
      </c>
      <c r="N5" s="22" t="s">
        <v>77</v>
      </c>
      <c r="O5" s="22" t="s">
        <v>387</v>
      </c>
    </row>
    <row r="6" customFormat="false" ht="15" hidden="false" customHeight="false" outlineLevel="0" collapsed="false">
      <c r="A6" s="21" t="n">
        <v>45967</v>
      </c>
      <c r="B6" s="22" t="s">
        <v>11</v>
      </c>
      <c r="C6" s="22" t="s">
        <v>12</v>
      </c>
      <c r="D6" s="22"/>
      <c r="E6" s="22" t="s">
        <v>150</v>
      </c>
      <c r="F6" s="22" t="s">
        <v>151</v>
      </c>
      <c r="G6" s="22" t="s">
        <v>386</v>
      </c>
      <c r="H6" s="16" t="n">
        <v>0.642</v>
      </c>
      <c r="I6" s="16" t="n">
        <v>15.4</v>
      </c>
      <c r="J6" s="22" t="n">
        <v>24</v>
      </c>
      <c r="K6" s="22"/>
      <c r="L6" s="22" t="n">
        <v>1</v>
      </c>
      <c r="M6" s="23" t="n">
        <v>15.4</v>
      </c>
      <c r="N6" s="22" t="s">
        <v>77</v>
      </c>
      <c r="O6" s="22" t="s">
        <v>387</v>
      </c>
    </row>
    <row r="7" customFormat="false" ht="15" hidden="false" customHeight="false" outlineLevel="0" collapsed="false">
      <c r="A7" s="4" t="n">
        <v>45967</v>
      </c>
      <c r="B7" s="5" t="s">
        <v>11</v>
      </c>
      <c r="C7" s="5" t="s">
        <v>12</v>
      </c>
      <c r="E7" s="5" t="s">
        <v>101</v>
      </c>
      <c r="F7" s="5" t="s">
        <v>102</v>
      </c>
      <c r="G7" s="5" t="s">
        <v>386</v>
      </c>
      <c r="H7" s="14" t="n">
        <v>0.801</v>
      </c>
      <c r="I7" s="14" t="n">
        <v>19.23</v>
      </c>
      <c r="J7" s="0" t="n">
        <v>24</v>
      </c>
      <c r="L7" s="0" t="n">
        <v>1</v>
      </c>
      <c r="M7" s="6" t="n">
        <v>19.23</v>
      </c>
      <c r="N7" s="5" t="s">
        <v>77</v>
      </c>
    </row>
    <row r="8" customFormat="false" ht="15" hidden="false" customHeight="false" outlineLevel="0" collapsed="false">
      <c r="A8" s="4" t="n">
        <v>45967</v>
      </c>
      <c r="B8" s="5" t="s">
        <v>11</v>
      </c>
      <c r="C8" s="5" t="s">
        <v>12</v>
      </c>
      <c r="E8" s="5" t="s">
        <v>148</v>
      </c>
      <c r="F8" s="5" t="s">
        <v>149</v>
      </c>
      <c r="G8" s="5" t="s">
        <v>386</v>
      </c>
      <c r="H8" s="14" t="n">
        <v>0.538</v>
      </c>
      <c r="I8" s="14" t="n">
        <v>12.91</v>
      </c>
      <c r="J8" s="0" t="n">
        <v>24</v>
      </c>
      <c r="L8" s="0" t="n">
        <v>1</v>
      </c>
      <c r="M8" s="6" t="n">
        <v>12.91</v>
      </c>
      <c r="N8" s="5" t="s">
        <v>77</v>
      </c>
    </row>
    <row r="9" customFormat="false" ht="15" hidden="false" customHeight="false" outlineLevel="0" collapsed="false">
      <c r="A9" s="4" t="n">
        <v>45967</v>
      </c>
      <c r="B9" s="5" t="s">
        <v>11</v>
      </c>
      <c r="C9" s="5" t="s">
        <v>12</v>
      </c>
      <c r="E9" s="5" t="s">
        <v>148</v>
      </c>
      <c r="F9" s="5" t="s">
        <v>149</v>
      </c>
      <c r="G9" s="5" t="s">
        <v>386</v>
      </c>
      <c r="H9" s="14" t="n">
        <v>0.538</v>
      </c>
      <c r="I9" s="14" t="n">
        <v>12.91</v>
      </c>
      <c r="J9" s="0" t="n">
        <v>24</v>
      </c>
      <c r="L9" s="0" t="n">
        <v>1</v>
      </c>
      <c r="M9" s="6" t="n">
        <v>12.91</v>
      </c>
      <c r="N9" s="5" t="s">
        <v>77</v>
      </c>
    </row>
    <row r="10" customFormat="false" ht="15" hidden="false" customHeight="false" outlineLevel="0" collapsed="false">
      <c r="A10" s="4" t="n">
        <v>45967</v>
      </c>
      <c r="B10" s="5" t="s">
        <v>11</v>
      </c>
      <c r="C10" s="5" t="s">
        <v>12</v>
      </c>
      <c r="E10" s="5" t="s">
        <v>146</v>
      </c>
      <c r="F10" s="5" t="s">
        <v>147</v>
      </c>
      <c r="G10" s="5" t="s">
        <v>386</v>
      </c>
      <c r="H10" s="14" t="n">
        <v>0.58</v>
      </c>
      <c r="I10" s="14" t="n">
        <v>13.92</v>
      </c>
      <c r="J10" s="0" t="n">
        <v>24</v>
      </c>
      <c r="L10" s="0" t="n">
        <v>1</v>
      </c>
      <c r="M10" s="6" t="n">
        <v>13.92</v>
      </c>
      <c r="N10" s="5" t="s">
        <v>77</v>
      </c>
    </row>
    <row r="11" customFormat="false" ht="15" hidden="false" customHeight="false" outlineLevel="0" collapsed="false">
      <c r="A11" s="4" t="n">
        <v>45967</v>
      </c>
      <c r="B11" s="5" t="s">
        <v>11</v>
      </c>
      <c r="C11" s="5" t="s">
        <v>12</v>
      </c>
      <c r="E11" s="5" t="s">
        <v>146</v>
      </c>
      <c r="F11" s="5" t="s">
        <v>147</v>
      </c>
      <c r="G11" s="5" t="s">
        <v>386</v>
      </c>
      <c r="H11" s="14" t="n">
        <v>0.58</v>
      </c>
      <c r="I11" s="14" t="n">
        <v>13.92</v>
      </c>
      <c r="J11" s="0" t="n">
        <v>24</v>
      </c>
      <c r="L11" s="0" t="n">
        <v>1</v>
      </c>
      <c r="M11" s="6" t="n">
        <v>13.92</v>
      </c>
      <c r="N11" s="5" t="s">
        <v>77</v>
      </c>
    </row>
    <row r="12" customFormat="false" ht="15" hidden="false" customHeight="false" outlineLevel="0" collapsed="false">
      <c r="A12" s="21" t="n">
        <v>45967</v>
      </c>
      <c r="B12" s="22" t="s">
        <v>11</v>
      </c>
      <c r="C12" s="22" t="s">
        <v>12</v>
      </c>
      <c r="D12" s="22"/>
      <c r="E12" s="22" t="s">
        <v>84</v>
      </c>
      <c r="F12" s="22" t="s">
        <v>85</v>
      </c>
      <c r="G12" s="22" t="s">
        <v>386</v>
      </c>
      <c r="H12" s="16" t="n">
        <v>1.169</v>
      </c>
      <c r="I12" s="16" t="n">
        <v>14.03</v>
      </c>
      <c r="J12" s="22" t="n">
        <v>12</v>
      </c>
      <c r="K12" s="22"/>
      <c r="L12" s="22" t="n">
        <v>3</v>
      </c>
      <c r="M12" s="23" t="n">
        <v>42.09</v>
      </c>
      <c r="N12" s="22" t="s">
        <v>77</v>
      </c>
      <c r="O12" s="22" t="s">
        <v>387</v>
      </c>
    </row>
    <row r="13" customFormat="false" ht="15" hidden="false" customHeight="false" outlineLevel="0" collapsed="false">
      <c r="A13" s="21" t="n">
        <v>45967</v>
      </c>
      <c r="B13" s="22" t="s">
        <v>11</v>
      </c>
      <c r="C13" s="22" t="s">
        <v>12</v>
      </c>
      <c r="D13" s="22"/>
      <c r="E13" s="22" t="s">
        <v>86</v>
      </c>
      <c r="F13" s="22" t="s">
        <v>87</v>
      </c>
      <c r="G13" s="22" t="s">
        <v>386</v>
      </c>
      <c r="H13" s="16" t="n">
        <v>1.169</v>
      </c>
      <c r="I13" s="16" t="n">
        <v>14.03</v>
      </c>
      <c r="J13" s="22" t="n">
        <v>12</v>
      </c>
      <c r="K13" s="22"/>
      <c r="L13" s="22" t="n">
        <v>3</v>
      </c>
      <c r="M13" s="23" t="n">
        <v>42.09</v>
      </c>
      <c r="N13" s="22" t="s">
        <v>77</v>
      </c>
      <c r="O13" s="22" t="s">
        <v>387</v>
      </c>
    </row>
    <row r="14" customFormat="false" ht="15" hidden="false" customHeight="false" outlineLevel="0" collapsed="false">
      <c r="A14" s="21" t="n">
        <v>45967</v>
      </c>
      <c r="B14" s="22" t="s">
        <v>11</v>
      </c>
      <c r="C14" s="22" t="s">
        <v>12</v>
      </c>
      <c r="D14" s="22"/>
      <c r="E14" s="22" t="s">
        <v>88</v>
      </c>
      <c r="F14" s="22" t="s">
        <v>89</v>
      </c>
      <c r="G14" s="22" t="s">
        <v>386</v>
      </c>
      <c r="H14" s="16" t="n">
        <v>1.063</v>
      </c>
      <c r="I14" s="16" t="n">
        <v>12.75</v>
      </c>
      <c r="J14" s="22" t="n">
        <v>12</v>
      </c>
      <c r="K14" s="22"/>
      <c r="L14" s="22" t="n">
        <v>1</v>
      </c>
      <c r="M14" s="23" t="n">
        <v>12.75</v>
      </c>
      <c r="N14" s="22" t="s">
        <v>77</v>
      </c>
      <c r="O14" s="22" t="s">
        <v>387</v>
      </c>
    </row>
    <row r="15" customFormat="false" ht="15" hidden="false" customHeight="false" outlineLevel="0" collapsed="false">
      <c r="A15" s="21" t="n">
        <v>45967</v>
      </c>
      <c r="B15" s="22" t="s">
        <v>11</v>
      </c>
      <c r="C15" s="22" t="s">
        <v>12</v>
      </c>
      <c r="D15" s="22"/>
      <c r="E15" s="22" t="s">
        <v>88</v>
      </c>
      <c r="F15" s="22" t="s">
        <v>89</v>
      </c>
      <c r="G15" s="22" t="s">
        <v>386</v>
      </c>
      <c r="H15" s="16" t="n">
        <v>1.063</v>
      </c>
      <c r="I15" s="16" t="n">
        <v>12.75</v>
      </c>
      <c r="J15" s="22" t="n">
        <v>12</v>
      </c>
      <c r="K15" s="22"/>
      <c r="L15" s="22" t="n">
        <v>2</v>
      </c>
      <c r="M15" s="23" t="n">
        <v>25.5</v>
      </c>
      <c r="N15" s="22" t="s">
        <v>77</v>
      </c>
      <c r="O15" s="22" t="s">
        <v>387</v>
      </c>
    </row>
    <row r="16" customFormat="false" ht="15" hidden="false" customHeight="false" outlineLevel="0" collapsed="false">
      <c r="A16" s="21" t="n">
        <v>45967</v>
      </c>
      <c r="B16" s="22" t="s">
        <v>11</v>
      </c>
      <c r="C16" s="22" t="s">
        <v>12</v>
      </c>
      <c r="D16" s="22"/>
      <c r="E16" s="22" t="s">
        <v>109</v>
      </c>
      <c r="F16" s="22" t="s">
        <v>110</v>
      </c>
      <c r="G16" s="22" t="s">
        <v>386</v>
      </c>
      <c r="H16" s="16" t="n">
        <v>0.464</v>
      </c>
      <c r="I16" s="16" t="n">
        <v>11.13</v>
      </c>
      <c r="J16" s="22" t="n">
        <v>24</v>
      </c>
      <c r="K16" s="22"/>
      <c r="L16" s="22" t="n">
        <v>1</v>
      </c>
      <c r="M16" s="23" t="n">
        <v>11.13</v>
      </c>
      <c r="N16" s="22" t="s">
        <v>77</v>
      </c>
      <c r="O16" s="22" t="s">
        <v>387</v>
      </c>
    </row>
    <row r="17" customFormat="false" ht="15" hidden="false" customHeight="false" outlineLevel="0" collapsed="false">
      <c r="A17" s="21" t="n">
        <v>45967</v>
      </c>
      <c r="B17" s="22" t="s">
        <v>11</v>
      </c>
      <c r="C17" s="22" t="s">
        <v>12</v>
      </c>
      <c r="D17" s="22"/>
      <c r="E17" s="22" t="s">
        <v>111</v>
      </c>
      <c r="F17" s="22" t="s">
        <v>112</v>
      </c>
      <c r="G17" s="22" t="s">
        <v>386</v>
      </c>
      <c r="H17" s="16" t="n">
        <v>0.508</v>
      </c>
      <c r="I17" s="16" t="n">
        <v>12.18</v>
      </c>
      <c r="J17" s="22" t="n">
        <v>24</v>
      </c>
      <c r="K17" s="22"/>
      <c r="L17" s="22" t="n">
        <v>1</v>
      </c>
      <c r="M17" s="23" t="n">
        <v>12.18</v>
      </c>
      <c r="N17" s="22" t="s">
        <v>77</v>
      </c>
      <c r="O17" s="22" t="s">
        <v>387</v>
      </c>
    </row>
    <row r="18" customFormat="false" ht="15" hidden="false" customHeight="false" outlineLevel="0" collapsed="false">
      <c r="A18" s="21" t="n">
        <v>45967</v>
      </c>
      <c r="B18" s="22" t="s">
        <v>11</v>
      </c>
      <c r="C18" s="22" t="s">
        <v>12</v>
      </c>
      <c r="D18" s="22"/>
      <c r="E18" s="22" t="s">
        <v>90</v>
      </c>
      <c r="F18" s="22" t="s">
        <v>91</v>
      </c>
      <c r="G18" s="22" t="s">
        <v>386</v>
      </c>
      <c r="H18" s="16" t="n">
        <v>0.509</v>
      </c>
      <c r="I18" s="16" t="n">
        <v>12.22</v>
      </c>
      <c r="J18" s="22" t="n">
        <v>24</v>
      </c>
      <c r="K18" s="22"/>
      <c r="L18" s="22" t="n">
        <v>1</v>
      </c>
      <c r="M18" s="23" t="n">
        <v>12.22</v>
      </c>
      <c r="N18" s="22" t="s">
        <v>77</v>
      </c>
      <c r="O18" s="22" t="s">
        <v>387</v>
      </c>
    </row>
    <row r="19" customFormat="false" ht="15" hidden="false" customHeight="false" outlineLevel="0" collapsed="false">
      <c r="A19" s="4" t="n">
        <v>45967</v>
      </c>
      <c r="B19" s="5" t="s">
        <v>11</v>
      </c>
      <c r="C19" s="5" t="s">
        <v>12</v>
      </c>
      <c r="E19" s="5" t="s">
        <v>193</v>
      </c>
      <c r="F19" s="5" t="s">
        <v>194</v>
      </c>
      <c r="G19" s="5" t="s">
        <v>386</v>
      </c>
      <c r="H19" s="14" t="n">
        <v>0.581</v>
      </c>
      <c r="I19" s="14" t="n">
        <v>13.95</v>
      </c>
      <c r="J19" s="0" t="n">
        <v>24</v>
      </c>
      <c r="L19" s="0" t="n">
        <v>1</v>
      </c>
      <c r="M19" s="6" t="n">
        <v>13.95</v>
      </c>
      <c r="N19" s="5" t="s">
        <v>77</v>
      </c>
    </row>
    <row r="20" customFormat="false" ht="15" hidden="false" customHeight="false" outlineLevel="0" collapsed="false">
      <c r="A20" s="4" t="n">
        <v>45967</v>
      </c>
      <c r="B20" s="5" t="s">
        <v>11</v>
      </c>
      <c r="C20" s="5" t="s">
        <v>12</v>
      </c>
      <c r="E20" s="5" t="s">
        <v>134</v>
      </c>
      <c r="F20" s="5" t="s">
        <v>135</v>
      </c>
      <c r="G20" s="5" t="s">
        <v>386</v>
      </c>
      <c r="H20" s="14" t="n">
        <v>0.638</v>
      </c>
      <c r="I20" s="14" t="n">
        <v>15.31</v>
      </c>
      <c r="J20" s="0" t="n">
        <v>24</v>
      </c>
      <c r="L20" s="0" t="n">
        <v>1</v>
      </c>
      <c r="M20" s="6" t="n">
        <v>15.31</v>
      </c>
      <c r="N20" s="5" t="s">
        <v>77</v>
      </c>
    </row>
    <row r="21" customFormat="false" ht="15" hidden="false" customHeight="false" outlineLevel="0" collapsed="false">
      <c r="A21" s="21" t="n">
        <v>45967</v>
      </c>
      <c r="B21" s="22" t="s">
        <v>11</v>
      </c>
      <c r="C21" s="22" t="s">
        <v>12</v>
      </c>
      <c r="D21" s="22"/>
      <c r="E21" s="22" t="s">
        <v>79</v>
      </c>
      <c r="F21" s="22" t="s">
        <v>80</v>
      </c>
      <c r="G21" s="22" t="s">
        <v>386</v>
      </c>
      <c r="H21" s="16" t="n">
        <v>0.479</v>
      </c>
      <c r="I21" s="16" t="n">
        <v>11.5</v>
      </c>
      <c r="J21" s="22" t="n">
        <v>24</v>
      </c>
      <c r="K21" s="22"/>
      <c r="L21" s="22" t="n">
        <v>1</v>
      </c>
      <c r="M21" s="23" t="n">
        <v>11.5</v>
      </c>
      <c r="N21" s="22" t="s">
        <v>77</v>
      </c>
      <c r="O21" s="22" t="s">
        <v>387</v>
      </c>
    </row>
    <row r="22" customFormat="false" ht="15" hidden="false" customHeight="false" outlineLevel="0" collapsed="false">
      <c r="A22" s="21" t="n">
        <v>45967</v>
      </c>
      <c r="B22" s="22" t="s">
        <v>11</v>
      </c>
      <c r="C22" s="22" t="s">
        <v>12</v>
      </c>
      <c r="D22" s="22"/>
      <c r="E22" s="22" t="s">
        <v>136</v>
      </c>
      <c r="F22" s="22" t="s">
        <v>137</v>
      </c>
      <c r="G22" s="22" t="s">
        <v>386</v>
      </c>
      <c r="H22" s="16" t="n">
        <v>0.609</v>
      </c>
      <c r="I22" s="16" t="n">
        <v>14.61</v>
      </c>
      <c r="J22" s="22" t="n">
        <v>24</v>
      </c>
      <c r="K22" s="22"/>
      <c r="L22" s="22" t="n">
        <v>1</v>
      </c>
      <c r="M22" s="23" t="n">
        <v>14.61</v>
      </c>
      <c r="N22" s="22" t="s">
        <v>77</v>
      </c>
      <c r="O22" s="22" t="s">
        <v>387</v>
      </c>
    </row>
    <row r="23" customFormat="false" ht="15" hidden="false" customHeight="false" outlineLevel="0" collapsed="false">
      <c r="A23" s="4" t="n">
        <v>45967</v>
      </c>
      <c r="B23" s="5" t="s">
        <v>11</v>
      </c>
      <c r="C23" s="5" t="s">
        <v>12</v>
      </c>
      <c r="E23" s="5" t="s">
        <v>144</v>
      </c>
      <c r="F23" s="5" t="s">
        <v>145</v>
      </c>
      <c r="G23" s="5" t="s">
        <v>386</v>
      </c>
      <c r="H23" s="14" t="n">
        <v>0.547</v>
      </c>
      <c r="I23" s="14" t="n">
        <v>13.12</v>
      </c>
      <c r="J23" s="0" t="n">
        <v>24</v>
      </c>
      <c r="L23" s="0" t="n">
        <v>1</v>
      </c>
      <c r="M23" s="6" t="n">
        <v>13.12</v>
      </c>
      <c r="N23" s="5" t="s">
        <v>77</v>
      </c>
    </row>
    <row r="24" customFormat="false" ht="15" hidden="false" customHeight="false" outlineLevel="0" collapsed="false">
      <c r="A24" s="4" t="n">
        <v>45967</v>
      </c>
      <c r="B24" s="5" t="s">
        <v>11</v>
      </c>
      <c r="C24" s="5" t="s">
        <v>12</v>
      </c>
      <c r="E24" s="5" t="s">
        <v>142</v>
      </c>
      <c r="F24" s="5" t="s">
        <v>143</v>
      </c>
      <c r="G24" s="5" t="s">
        <v>386</v>
      </c>
      <c r="H24" s="14" t="n">
        <v>0.568</v>
      </c>
      <c r="I24" s="14" t="n">
        <v>13.64</v>
      </c>
      <c r="J24" s="0" t="n">
        <v>24</v>
      </c>
      <c r="L24" s="0" t="n">
        <v>1</v>
      </c>
      <c r="M24" s="6" t="n">
        <v>13.64</v>
      </c>
      <c r="N24" s="5" t="s">
        <v>77</v>
      </c>
    </row>
    <row r="25" customFormat="false" ht="15" hidden="false" customHeight="false" outlineLevel="0" collapsed="false">
      <c r="A25" s="4" t="n">
        <v>45967</v>
      </c>
      <c r="B25" s="5" t="s">
        <v>11</v>
      </c>
      <c r="C25" s="5" t="s">
        <v>12</v>
      </c>
      <c r="E25" s="5" t="s">
        <v>103</v>
      </c>
      <c r="F25" s="5" t="s">
        <v>104</v>
      </c>
      <c r="G25" s="5" t="s">
        <v>386</v>
      </c>
      <c r="H25" s="14" t="n">
        <v>0.613</v>
      </c>
      <c r="I25" s="14" t="n">
        <v>14.7</v>
      </c>
      <c r="J25" s="0" t="n">
        <v>24</v>
      </c>
      <c r="L25" s="0" t="n">
        <v>1</v>
      </c>
      <c r="M25" s="6" t="n">
        <v>14.7</v>
      </c>
      <c r="N25" s="5" t="s">
        <v>77</v>
      </c>
    </row>
    <row r="26" customFormat="false" ht="15" hidden="false" customHeight="false" outlineLevel="0" collapsed="false">
      <c r="A26" s="4" t="n">
        <v>45967</v>
      </c>
      <c r="B26" s="5" t="s">
        <v>11</v>
      </c>
      <c r="C26" s="5" t="s">
        <v>12</v>
      </c>
      <c r="E26" s="5" t="s">
        <v>138</v>
      </c>
      <c r="F26" s="5" t="s">
        <v>139</v>
      </c>
      <c r="G26" s="5" t="s">
        <v>386</v>
      </c>
      <c r="H26" s="14" t="n">
        <v>0.541</v>
      </c>
      <c r="I26" s="14" t="n">
        <v>12.99</v>
      </c>
      <c r="J26" s="0" t="n">
        <v>24</v>
      </c>
      <c r="L26" s="0" t="n">
        <v>1</v>
      </c>
      <c r="M26" s="6" t="n">
        <v>12.99</v>
      </c>
      <c r="N26" s="5" t="s">
        <v>77</v>
      </c>
    </row>
    <row r="27" customFormat="false" ht="15" hidden="false" customHeight="false" outlineLevel="0" collapsed="false">
      <c r="A27" s="4" t="n">
        <v>45967</v>
      </c>
      <c r="B27" s="5" t="s">
        <v>11</v>
      </c>
      <c r="C27" s="5" t="s">
        <v>12</v>
      </c>
      <c r="E27" s="5" t="s">
        <v>357</v>
      </c>
      <c r="F27" s="5" t="s">
        <v>358</v>
      </c>
      <c r="G27" s="5" t="s">
        <v>386</v>
      </c>
      <c r="H27" s="14" t="n">
        <v>3.753</v>
      </c>
      <c r="I27" s="14" t="n">
        <v>15.01</v>
      </c>
      <c r="J27" s="0" t="n">
        <v>4</v>
      </c>
      <c r="L27" s="0" t="n">
        <v>1</v>
      </c>
      <c r="M27" s="6" t="n">
        <v>15.01</v>
      </c>
      <c r="N27" s="5" t="s">
        <v>77</v>
      </c>
    </row>
    <row r="28" customFormat="false" ht="15" hidden="false" customHeight="false" outlineLevel="0" collapsed="false">
      <c r="A28" s="4" t="n">
        <v>45967</v>
      </c>
      <c r="B28" s="5" t="s">
        <v>11</v>
      </c>
      <c r="C28" s="5" t="s">
        <v>12</v>
      </c>
      <c r="E28" s="5" t="s">
        <v>99</v>
      </c>
      <c r="F28" s="5" t="s">
        <v>100</v>
      </c>
      <c r="G28" s="5" t="s">
        <v>386</v>
      </c>
      <c r="H28" s="14" t="n">
        <v>0.49</v>
      </c>
      <c r="I28" s="14" t="n">
        <v>11.75</v>
      </c>
      <c r="J28" s="0" t="n">
        <v>24</v>
      </c>
      <c r="L28" s="0" t="n">
        <v>1</v>
      </c>
      <c r="M28" s="6" t="n">
        <v>11.75</v>
      </c>
      <c r="N28" s="5" t="s">
        <v>77</v>
      </c>
    </row>
    <row r="29" customFormat="false" ht="15" hidden="false" customHeight="false" outlineLevel="0" collapsed="false">
      <c r="A29" s="4" t="n">
        <v>45967</v>
      </c>
      <c r="B29" s="5" t="s">
        <v>11</v>
      </c>
      <c r="C29" s="5" t="s">
        <v>12</v>
      </c>
      <c r="E29" s="5" t="s">
        <v>195</v>
      </c>
      <c r="F29" s="5" t="s">
        <v>196</v>
      </c>
      <c r="G29" s="5" t="s">
        <v>386</v>
      </c>
      <c r="H29" s="14" t="n">
        <v>0.687</v>
      </c>
      <c r="I29" s="14" t="n">
        <v>16.49</v>
      </c>
      <c r="J29" s="0" t="n">
        <v>24</v>
      </c>
      <c r="L29" s="0" t="n">
        <v>1</v>
      </c>
      <c r="M29" s="6" t="n">
        <v>16.49</v>
      </c>
      <c r="N29" s="5" t="s">
        <v>77</v>
      </c>
    </row>
    <row r="30" customFormat="false" ht="15" hidden="false" customHeight="false" outlineLevel="0" collapsed="false">
      <c r="A30" s="4" t="n">
        <v>45967</v>
      </c>
      <c r="B30" s="5" t="s">
        <v>11</v>
      </c>
      <c r="C30" s="5" t="s">
        <v>12</v>
      </c>
      <c r="E30" s="5" t="s">
        <v>107</v>
      </c>
      <c r="F30" s="5" t="s">
        <v>108</v>
      </c>
      <c r="G30" s="5" t="s">
        <v>386</v>
      </c>
      <c r="H30" s="14" t="n">
        <v>0.663</v>
      </c>
      <c r="I30" s="14" t="n">
        <v>15.91</v>
      </c>
      <c r="J30" s="0" t="n">
        <v>24</v>
      </c>
      <c r="L30" s="0" t="n">
        <v>1</v>
      </c>
      <c r="M30" s="6" t="n">
        <v>15.91</v>
      </c>
      <c r="N30" s="5" t="s">
        <v>77</v>
      </c>
    </row>
    <row r="31" customFormat="false" ht="15" hidden="false" customHeight="false" outlineLevel="0" collapsed="false">
      <c r="A31" s="4" t="n">
        <v>45967</v>
      </c>
      <c r="B31" s="5" t="s">
        <v>11</v>
      </c>
      <c r="C31" s="5" t="s">
        <v>12</v>
      </c>
      <c r="E31" s="5" t="s">
        <v>154</v>
      </c>
      <c r="F31" s="5" t="s">
        <v>155</v>
      </c>
      <c r="G31" s="5" t="s">
        <v>386</v>
      </c>
      <c r="H31" s="14" t="n">
        <v>0.511</v>
      </c>
      <c r="I31" s="14" t="n">
        <v>12.26</v>
      </c>
      <c r="J31" s="0" t="n">
        <v>24</v>
      </c>
      <c r="L31" s="0" t="n">
        <v>1</v>
      </c>
      <c r="M31" s="6" t="n">
        <v>12.26</v>
      </c>
      <c r="N31" s="5" t="s">
        <v>77</v>
      </c>
    </row>
    <row r="32" customFormat="false" ht="15" hidden="false" customHeight="false" outlineLevel="0" collapsed="false">
      <c r="A32" s="4" t="n">
        <v>45967</v>
      </c>
      <c r="B32" s="5" t="s">
        <v>11</v>
      </c>
      <c r="C32" s="5" t="s">
        <v>12</v>
      </c>
      <c r="D32" s="5" t="s">
        <v>98</v>
      </c>
      <c r="E32" s="5" t="s">
        <v>92</v>
      </c>
      <c r="F32" s="5" t="s">
        <v>93</v>
      </c>
      <c r="G32" s="5" t="s">
        <v>386</v>
      </c>
      <c r="H32" s="14" t="n">
        <v>0.59</v>
      </c>
      <c r="I32" s="14" t="n">
        <v>14.17</v>
      </c>
      <c r="J32" s="0" t="n">
        <v>24</v>
      </c>
      <c r="L32" s="0" t="n">
        <v>1</v>
      </c>
      <c r="M32" s="6" t="n">
        <v>14.17</v>
      </c>
      <c r="N32" s="5" t="s">
        <v>77</v>
      </c>
    </row>
    <row r="33" customFormat="false" ht="15" hidden="false" customHeight="false" outlineLevel="0" collapsed="false">
      <c r="A33" s="4" t="n">
        <v>45967</v>
      </c>
      <c r="B33" s="5" t="s">
        <v>11</v>
      </c>
      <c r="C33" s="5" t="s">
        <v>12</v>
      </c>
      <c r="D33" s="5" t="s">
        <v>98</v>
      </c>
      <c r="E33" s="5" t="s">
        <v>118</v>
      </c>
      <c r="F33" s="5" t="s">
        <v>119</v>
      </c>
      <c r="G33" s="5" t="s">
        <v>386</v>
      </c>
      <c r="H33" s="14" t="n">
        <v>0.621</v>
      </c>
      <c r="I33" s="14" t="n">
        <v>14.9</v>
      </c>
      <c r="J33" s="0" t="n">
        <v>24</v>
      </c>
      <c r="L33" s="0" t="n">
        <v>1</v>
      </c>
      <c r="M33" s="6" t="n">
        <v>14.9</v>
      </c>
      <c r="N33" s="5" t="s">
        <v>77</v>
      </c>
    </row>
    <row r="34" customFormat="false" ht="15" hidden="false" customHeight="false" outlineLevel="0" collapsed="false">
      <c r="A34" s="4" t="n">
        <v>45967</v>
      </c>
      <c r="B34" s="5" t="s">
        <v>11</v>
      </c>
      <c r="C34" s="5" t="s">
        <v>12</v>
      </c>
      <c r="D34" s="5" t="s">
        <v>98</v>
      </c>
      <c r="E34" s="5" t="s">
        <v>220</v>
      </c>
      <c r="F34" s="5" t="s">
        <v>221</v>
      </c>
      <c r="G34" s="5" t="s">
        <v>386</v>
      </c>
      <c r="H34" s="14" t="n">
        <v>0.492</v>
      </c>
      <c r="I34" s="14" t="n">
        <v>17.72</v>
      </c>
      <c r="J34" s="0" t="n">
        <v>36</v>
      </c>
      <c r="L34" s="0" t="n">
        <v>1</v>
      </c>
      <c r="M34" s="6" t="n">
        <v>17.72</v>
      </c>
      <c r="N34" s="5" t="s">
        <v>115</v>
      </c>
    </row>
    <row r="35" customFormat="false" ht="15" hidden="false" customHeight="false" outlineLevel="0" collapsed="false">
      <c r="A35" s="4" t="n">
        <v>45967</v>
      </c>
      <c r="B35" s="5" t="s">
        <v>11</v>
      </c>
      <c r="C35" s="5" t="s">
        <v>12</v>
      </c>
      <c r="D35" s="5" t="s">
        <v>98</v>
      </c>
      <c r="E35" s="5" t="s">
        <v>161</v>
      </c>
      <c r="F35" s="5" t="s">
        <v>162</v>
      </c>
      <c r="G35" s="5" t="s">
        <v>386</v>
      </c>
      <c r="H35" s="14" t="n">
        <v>0.636</v>
      </c>
      <c r="I35" s="14" t="n">
        <v>22.9</v>
      </c>
      <c r="J35" s="0" t="n">
        <v>36</v>
      </c>
      <c r="L35" s="0" t="n">
        <v>2</v>
      </c>
      <c r="M35" s="6" t="n">
        <v>45.8</v>
      </c>
      <c r="N35" s="5" t="s">
        <v>115</v>
      </c>
    </row>
    <row r="36" customFormat="false" ht="15" hidden="false" customHeight="false" outlineLevel="0" collapsed="false">
      <c r="A36" s="4" t="n">
        <v>45967</v>
      </c>
      <c r="B36" s="5" t="s">
        <v>11</v>
      </c>
      <c r="C36" s="5" t="s">
        <v>12</v>
      </c>
      <c r="D36" s="5" t="s">
        <v>98</v>
      </c>
      <c r="E36" s="5" t="s">
        <v>174</v>
      </c>
      <c r="F36" s="5" t="s">
        <v>175</v>
      </c>
      <c r="G36" s="5" t="s">
        <v>386</v>
      </c>
      <c r="H36" s="14" t="n">
        <v>0.857</v>
      </c>
      <c r="I36" s="14" t="n">
        <v>20.57</v>
      </c>
      <c r="J36" s="0" t="n">
        <v>24</v>
      </c>
      <c r="L36" s="0" t="n">
        <v>2</v>
      </c>
      <c r="M36" s="6" t="n">
        <v>41.14</v>
      </c>
      <c r="N36" s="5" t="s">
        <v>115</v>
      </c>
    </row>
    <row r="37" customFormat="false" ht="15" hidden="false" customHeight="false" outlineLevel="0" collapsed="false">
      <c r="A37" s="4" t="n">
        <v>45967</v>
      </c>
      <c r="B37" s="5" t="s">
        <v>11</v>
      </c>
      <c r="C37" s="5" t="s">
        <v>12</v>
      </c>
      <c r="D37" s="5" t="s">
        <v>98</v>
      </c>
      <c r="E37" s="5" t="s">
        <v>74</v>
      </c>
      <c r="F37" s="5" t="s">
        <v>75</v>
      </c>
      <c r="G37" s="5" t="s">
        <v>386</v>
      </c>
      <c r="H37" s="14" t="n">
        <v>0.731</v>
      </c>
      <c r="I37" s="14" t="n">
        <v>21.92</v>
      </c>
      <c r="J37" s="0" t="n">
        <v>30</v>
      </c>
      <c r="L37" s="0" t="n">
        <v>5</v>
      </c>
      <c r="M37" s="6" t="n">
        <v>109.6</v>
      </c>
      <c r="N37" s="5" t="s">
        <v>77</v>
      </c>
    </row>
    <row r="38" customFormat="false" ht="15" hidden="false" customHeight="false" outlineLevel="0" collapsed="false">
      <c r="A38" s="4" t="n">
        <v>45967</v>
      </c>
      <c r="B38" s="5" t="s">
        <v>11</v>
      </c>
      <c r="C38" s="5" t="s">
        <v>12</v>
      </c>
      <c r="D38" s="5" t="s">
        <v>98</v>
      </c>
      <c r="E38" s="5" t="s">
        <v>82</v>
      </c>
      <c r="F38" s="5" t="s">
        <v>83</v>
      </c>
      <c r="G38" s="5" t="s">
        <v>386</v>
      </c>
      <c r="H38" s="14" t="n">
        <v>0.731</v>
      </c>
      <c r="I38" s="14" t="n">
        <v>21.92</v>
      </c>
      <c r="J38" s="0" t="n">
        <v>30</v>
      </c>
      <c r="L38" s="0" t="n">
        <v>5</v>
      </c>
      <c r="M38" s="6" t="n">
        <v>109.6</v>
      </c>
      <c r="N38" s="5" t="s">
        <v>77</v>
      </c>
    </row>
    <row r="39" customFormat="false" ht="15" hidden="false" customHeight="false" outlineLevel="0" collapsed="false">
      <c r="A39" s="4" t="n">
        <v>45967</v>
      </c>
      <c r="B39" s="5" t="s">
        <v>11</v>
      </c>
      <c r="C39" s="5" t="s">
        <v>12</v>
      </c>
      <c r="D39" s="5" t="s">
        <v>98</v>
      </c>
      <c r="E39" s="5" t="s">
        <v>113</v>
      </c>
      <c r="F39" s="5" t="s">
        <v>114</v>
      </c>
      <c r="G39" s="5" t="s">
        <v>386</v>
      </c>
      <c r="H39" s="14" t="n">
        <v>0.492</v>
      </c>
      <c r="I39" s="14" t="n">
        <v>11.81</v>
      </c>
      <c r="J39" s="0" t="n">
        <v>24</v>
      </c>
      <c r="L39" s="0" t="n">
        <v>1</v>
      </c>
      <c r="M39" s="6" t="n">
        <v>11.81</v>
      </c>
      <c r="N39" s="5" t="s">
        <v>115</v>
      </c>
    </row>
    <row r="40" customFormat="false" ht="15" hidden="false" customHeight="false" outlineLevel="0" collapsed="false">
      <c r="A40" s="4" t="n">
        <v>45967</v>
      </c>
      <c r="B40" s="5" t="s">
        <v>11</v>
      </c>
      <c r="C40" s="5" t="s">
        <v>12</v>
      </c>
      <c r="D40" s="5" t="s">
        <v>98</v>
      </c>
      <c r="E40" s="5" t="s">
        <v>120</v>
      </c>
      <c r="F40" s="5" t="s">
        <v>121</v>
      </c>
      <c r="G40" s="5" t="s">
        <v>386</v>
      </c>
      <c r="H40" s="14" t="n">
        <v>0.566</v>
      </c>
      <c r="I40" s="14" t="n">
        <v>20.39</v>
      </c>
      <c r="J40" s="0" t="n">
        <v>36</v>
      </c>
      <c r="L40" s="0" t="n">
        <v>1</v>
      </c>
      <c r="M40" s="6" t="n">
        <v>20.39</v>
      </c>
      <c r="N40" s="5" t="s">
        <v>77</v>
      </c>
    </row>
    <row r="41" customFormat="false" ht="15" hidden="false" customHeight="false" outlineLevel="0" collapsed="false">
      <c r="A41" s="4" t="n">
        <v>45967</v>
      </c>
      <c r="B41" s="5" t="s">
        <v>11</v>
      </c>
      <c r="C41" s="5" t="s">
        <v>12</v>
      </c>
      <c r="D41" s="5" t="s">
        <v>98</v>
      </c>
      <c r="E41" s="5" t="s">
        <v>163</v>
      </c>
      <c r="F41" s="5" t="s">
        <v>164</v>
      </c>
      <c r="G41" s="5" t="s">
        <v>386</v>
      </c>
      <c r="H41" s="14" t="n">
        <v>0.531</v>
      </c>
      <c r="I41" s="14" t="n">
        <v>21.22</v>
      </c>
      <c r="J41" s="0" t="n">
        <v>40</v>
      </c>
      <c r="L41" s="0" t="n">
        <v>1</v>
      </c>
      <c r="M41" s="6" t="n">
        <v>21.22</v>
      </c>
      <c r="N41" s="5" t="s">
        <v>115</v>
      </c>
    </row>
    <row r="42" customFormat="false" ht="15" hidden="false" customHeight="false" outlineLevel="0" collapsed="false">
      <c r="A42" s="4" t="n">
        <v>45967</v>
      </c>
      <c r="B42" s="5" t="s">
        <v>11</v>
      </c>
      <c r="C42" s="5" t="s">
        <v>12</v>
      </c>
      <c r="D42" s="5" t="s">
        <v>98</v>
      </c>
      <c r="E42" s="5" t="s">
        <v>226</v>
      </c>
      <c r="F42" s="5" t="s">
        <v>227</v>
      </c>
      <c r="G42" s="5" t="s">
        <v>386</v>
      </c>
      <c r="H42" s="14" t="n">
        <v>1.075</v>
      </c>
      <c r="I42" s="14" t="n">
        <v>4.3</v>
      </c>
      <c r="J42" s="0" t="n">
        <v>4</v>
      </c>
      <c r="L42" s="0" t="n">
        <v>5</v>
      </c>
      <c r="M42" s="6" t="n">
        <v>21.5</v>
      </c>
      <c r="N42" s="5" t="s">
        <v>77</v>
      </c>
    </row>
    <row r="43" customFormat="false" ht="15" hidden="false" customHeight="false" outlineLevel="0" collapsed="false">
      <c r="A43" s="4" t="n">
        <v>45967</v>
      </c>
      <c r="B43" s="5" t="s">
        <v>11</v>
      </c>
      <c r="C43" s="5" t="s">
        <v>12</v>
      </c>
      <c r="D43" s="5" t="s">
        <v>98</v>
      </c>
      <c r="E43" s="5" t="s">
        <v>130</v>
      </c>
      <c r="F43" s="5" t="s">
        <v>131</v>
      </c>
      <c r="G43" s="5" t="s">
        <v>386</v>
      </c>
      <c r="H43" s="14" t="n">
        <v>1.103</v>
      </c>
      <c r="I43" s="14" t="n">
        <v>4.41</v>
      </c>
      <c r="J43" s="0" t="n">
        <v>4</v>
      </c>
      <c r="L43" s="0" t="n">
        <v>8</v>
      </c>
      <c r="M43" s="6" t="n">
        <v>35.28</v>
      </c>
      <c r="N43" s="5" t="s">
        <v>77</v>
      </c>
    </row>
    <row r="44" customFormat="false" ht="15" hidden="false" customHeight="false" outlineLevel="0" collapsed="false">
      <c r="A44" s="4" t="n">
        <v>45967</v>
      </c>
      <c r="B44" s="5" t="s">
        <v>11</v>
      </c>
      <c r="C44" s="5" t="s">
        <v>12</v>
      </c>
      <c r="D44" s="5" t="s">
        <v>98</v>
      </c>
      <c r="E44" s="5" t="s">
        <v>132</v>
      </c>
      <c r="F44" s="5" t="s">
        <v>133</v>
      </c>
      <c r="G44" s="5" t="s">
        <v>386</v>
      </c>
      <c r="H44" s="14" t="n">
        <v>1.345</v>
      </c>
      <c r="I44" s="14" t="n">
        <v>5.38</v>
      </c>
      <c r="J44" s="0" t="n">
        <v>4</v>
      </c>
      <c r="L44" s="0" t="n">
        <v>2</v>
      </c>
      <c r="M44" s="6" t="n">
        <v>10.76</v>
      </c>
      <c r="N44" s="5" t="s">
        <v>77</v>
      </c>
    </row>
    <row r="45" customFormat="false" ht="15" hidden="false" customHeight="false" outlineLevel="0" collapsed="false">
      <c r="A45" s="4" t="n">
        <v>45967</v>
      </c>
      <c r="B45" s="5" t="s">
        <v>11</v>
      </c>
      <c r="C45" s="5" t="s">
        <v>12</v>
      </c>
      <c r="D45" s="5" t="s">
        <v>98</v>
      </c>
      <c r="E45" s="5" t="s">
        <v>116</v>
      </c>
      <c r="F45" s="5" t="s">
        <v>117</v>
      </c>
      <c r="G45" s="5" t="s">
        <v>386</v>
      </c>
      <c r="H45" s="14" t="n">
        <v>1.496</v>
      </c>
      <c r="I45" s="14" t="n">
        <v>13.46</v>
      </c>
      <c r="J45" s="0" t="n">
        <v>9</v>
      </c>
      <c r="L45" s="0" t="n">
        <v>1</v>
      </c>
      <c r="M45" s="6" t="n">
        <v>13.46</v>
      </c>
      <c r="N45" s="5" t="s">
        <v>77</v>
      </c>
    </row>
    <row r="46" customFormat="false" ht="15" hidden="false" customHeight="false" outlineLevel="0" collapsed="false">
      <c r="A46" s="4" t="n">
        <v>45967</v>
      </c>
      <c r="B46" s="5" t="s">
        <v>11</v>
      </c>
      <c r="C46" s="5" t="s">
        <v>12</v>
      </c>
      <c r="D46" s="5" t="s">
        <v>98</v>
      </c>
      <c r="E46" s="5" t="s">
        <v>260</v>
      </c>
      <c r="F46" s="5" t="s">
        <v>261</v>
      </c>
      <c r="G46" s="5" t="s">
        <v>386</v>
      </c>
      <c r="H46" s="14" t="n">
        <v>1.39</v>
      </c>
      <c r="I46" s="14" t="n">
        <v>8.34</v>
      </c>
      <c r="J46" s="0" t="n">
        <v>6</v>
      </c>
      <c r="L46" s="0" t="n">
        <v>8</v>
      </c>
      <c r="M46" s="6" t="n">
        <v>66.72</v>
      </c>
      <c r="N46" s="5" t="s">
        <v>77</v>
      </c>
    </row>
    <row r="47" customFormat="false" ht="15" hidden="false" customHeight="false" outlineLevel="0" collapsed="false">
      <c r="A47" s="4" t="n">
        <v>45967</v>
      </c>
      <c r="B47" s="5" t="s">
        <v>11</v>
      </c>
      <c r="C47" s="5" t="s">
        <v>12</v>
      </c>
      <c r="D47" s="5" t="s">
        <v>98</v>
      </c>
      <c r="E47" s="5" t="s">
        <v>156</v>
      </c>
      <c r="F47" s="5" t="s">
        <v>157</v>
      </c>
      <c r="G47" s="5" t="s">
        <v>78</v>
      </c>
      <c r="H47" s="14" t="n">
        <v>3.58</v>
      </c>
      <c r="I47" s="14" t="n">
        <v>3.58</v>
      </c>
      <c r="J47" s="0" t="n">
        <v>1</v>
      </c>
      <c r="L47" s="0" t="n">
        <v>2</v>
      </c>
      <c r="M47" s="6" t="n">
        <v>7.16</v>
      </c>
      <c r="N47" s="5" t="s">
        <v>77</v>
      </c>
    </row>
    <row r="48" customFormat="false" ht="15" hidden="false" customHeight="false" outlineLevel="0" collapsed="false">
      <c r="A48" s="4" t="n">
        <v>45967</v>
      </c>
      <c r="B48" s="5" t="s">
        <v>11</v>
      </c>
      <c r="C48" s="5" t="s">
        <v>12</v>
      </c>
      <c r="D48" s="5" t="s">
        <v>98</v>
      </c>
      <c r="E48" s="5" t="s">
        <v>124</v>
      </c>
      <c r="F48" s="5" t="s">
        <v>125</v>
      </c>
      <c r="G48" s="5" t="s">
        <v>386</v>
      </c>
      <c r="H48" s="14" t="n">
        <v>0.482</v>
      </c>
      <c r="I48" s="14" t="n">
        <v>9.63</v>
      </c>
      <c r="J48" s="0" t="n">
        <v>20</v>
      </c>
      <c r="L48" s="0" t="n">
        <v>4</v>
      </c>
      <c r="M48" s="6" t="n">
        <v>38.52</v>
      </c>
      <c r="N48" s="5" t="s">
        <v>77</v>
      </c>
    </row>
    <row r="49" customFormat="false" ht="15" hidden="false" customHeight="false" outlineLevel="0" collapsed="false">
      <c r="A49" s="21" t="n">
        <v>45967</v>
      </c>
      <c r="B49" s="22" t="s">
        <v>11</v>
      </c>
      <c r="C49" s="22" t="s">
        <v>12</v>
      </c>
      <c r="D49" s="22" t="s">
        <v>98</v>
      </c>
      <c r="E49" s="22" t="s">
        <v>94</v>
      </c>
      <c r="F49" s="22" t="s">
        <v>95</v>
      </c>
      <c r="G49" s="22" t="s">
        <v>386</v>
      </c>
      <c r="H49" s="16" t="n">
        <v>0.655</v>
      </c>
      <c r="I49" s="16" t="n">
        <v>15.72</v>
      </c>
      <c r="J49" s="22" t="n">
        <v>24</v>
      </c>
      <c r="K49" s="22"/>
      <c r="L49" s="22" t="n">
        <v>2</v>
      </c>
      <c r="M49" s="23" t="n">
        <v>31.44</v>
      </c>
      <c r="N49" s="22" t="s">
        <v>77</v>
      </c>
      <c r="O49" s="22" t="s">
        <v>387</v>
      </c>
    </row>
    <row r="50" customFormat="false" ht="15" hidden="false" customHeight="false" outlineLevel="0" collapsed="false">
      <c r="A50" s="21" t="n">
        <v>45967</v>
      </c>
      <c r="B50" s="22" t="s">
        <v>11</v>
      </c>
      <c r="C50" s="22" t="s">
        <v>12</v>
      </c>
      <c r="D50" s="22" t="s">
        <v>98</v>
      </c>
      <c r="E50" s="22" t="s">
        <v>96</v>
      </c>
      <c r="F50" s="22" t="s">
        <v>97</v>
      </c>
      <c r="G50" s="22" t="s">
        <v>386</v>
      </c>
      <c r="H50" s="16" t="n">
        <v>0.618</v>
      </c>
      <c r="I50" s="16" t="n">
        <v>14.83</v>
      </c>
      <c r="J50" s="22" t="n">
        <v>24</v>
      </c>
      <c r="K50" s="22"/>
      <c r="L50" s="22" t="n">
        <v>5</v>
      </c>
      <c r="M50" s="23" t="n">
        <v>74.15</v>
      </c>
      <c r="N50" s="22" t="s">
        <v>77</v>
      </c>
      <c r="O50" s="22" t="s">
        <v>387</v>
      </c>
    </row>
    <row r="51" customFormat="false" ht="15" hidden="false" customHeight="false" outlineLevel="0" collapsed="false">
      <c r="A51" s="4" t="n">
        <v>45967</v>
      </c>
      <c r="B51" s="5" t="s">
        <v>11</v>
      </c>
      <c r="C51" s="5" t="s">
        <v>12</v>
      </c>
      <c r="D51" s="5" t="s">
        <v>98</v>
      </c>
      <c r="E51" s="5" t="s">
        <v>122</v>
      </c>
      <c r="F51" s="5" t="s">
        <v>123</v>
      </c>
      <c r="G51" s="5" t="s">
        <v>386</v>
      </c>
      <c r="H51" s="14" t="n">
        <v>1.903</v>
      </c>
      <c r="I51" s="14" t="n">
        <v>11.42</v>
      </c>
      <c r="J51" s="0" t="n">
        <v>6</v>
      </c>
      <c r="L51" s="0" t="n">
        <v>5</v>
      </c>
      <c r="M51" s="6" t="n">
        <v>57.1</v>
      </c>
      <c r="N51" s="5" t="s">
        <v>77</v>
      </c>
    </row>
    <row r="52" customFormat="false" ht="15" hidden="false" customHeight="false" outlineLevel="0" collapsed="false">
      <c r="A52" s="4" t="n">
        <v>45967</v>
      </c>
      <c r="B52" s="5" t="s">
        <v>11</v>
      </c>
      <c r="C52" s="5" t="s">
        <v>12</v>
      </c>
      <c r="D52" s="5" t="s">
        <v>98</v>
      </c>
      <c r="E52" s="5" t="s">
        <v>262</v>
      </c>
      <c r="F52" s="5" t="s">
        <v>263</v>
      </c>
      <c r="G52" s="5" t="s">
        <v>386</v>
      </c>
      <c r="H52" s="14" t="n">
        <v>0.373</v>
      </c>
      <c r="I52" s="14" t="n">
        <v>8.95</v>
      </c>
      <c r="J52" s="0" t="n">
        <v>24</v>
      </c>
      <c r="L52" s="0" t="n">
        <v>2</v>
      </c>
      <c r="M52" s="6" t="n">
        <v>17.9</v>
      </c>
      <c r="N52" s="5" t="s">
        <v>77</v>
      </c>
    </row>
    <row r="53" customFormat="false" ht="15" hidden="false" customHeight="false" outlineLevel="0" collapsed="false">
      <c r="A53" s="4" t="n">
        <v>45967</v>
      </c>
      <c r="B53" s="5" t="s">
        <v>11</v>
      </c>
      <c r="C53" s="5" t="s">
        <v>12</v>
      </c>
      <c r="D53" s="5" t="s">
        <v>98</v>
      </c>
      <c r="E53" s="5" t="s">
        <v>176</v>
      </c>
      <c r="F53" s="5" t="s">
        <v>177</v>
      </c>
      <c r="G53" s="5" t="s">
        <v>386</v>
      </c>
      <c r="H53" s="14" t="n">
        <v>1.655</v>
      </c>
      <c r="I53" s="14" t="n">
        <v>9.93</v>
      </c>
      <c r="J53" s="0" t="n">
        <v>6</v>
      </c>
      <c r="L53" s="0" t="n">
        <v>3</v>
      </c>
      <c r="M53" s="6" t="n">
        <v>29.79</v>
      </c>
      <c r="N53" s="5" t="s">
        <v>77</v>
      </c>
    </row>
    <row r="54" customFormat="false" ht="15" hidden="false" customHeight="false" outlineLevel="0" collapsed="false">
      <c r="A54" s="4" t="n">
        <v>45967</v>
      </c>
      <c r="B54" s="5" t="s">
        <v>11</v>
      </c>
      <c r="C54" s="5" t="s">
        <v>12</v>
      </c>
      <c r="D54" s="5" t="s">
        <v>98</v>
      </c>
      <c r="E54" s="5" t="s">
        <v>128</v>
      </c>
      <c r="F54" s="5" t="s">
        <v>129</v>
      </c>
      <c r="G54" s="5" t="s">
        <v>78</v>
      </c>
      <c r="H54" s="14" t="n">
        <v>15.19</v>
      </c>
      <c r="I54" s="14" t="n">
        <v>15.19</v>
      </c>
      <c r="J54" s="0" t="n">
        <v>1</v>
      </c>
      <c r="L54" s="0" t="n">
        <v>1</v>
      </c>
      <c r="M54" s="6" t="n">
        <v>15.19</v>
      </c>
      <c r="N54" s="5" t="s">
        <v>115</v>
      </c>
    </row>
    <row r="55" customFormat="false" ht="15" hidden="false" customHeight="false" outlineLevel="0" collapsed="false">
      <c r="A55" s="4" t="n">
        <v>45967</v>
      </c>
      <c r="B55" s="5" t="s">
        <v>11</v>
      </c>
      <c r="C55" s="5" t="s">
        <v>12</v>
      </c>
      <c r="D55" s="5" t="s">
        <v>81</v>
      </c>
      <c r="E55" s="5" t="s">
        <v>186</v>
      </c>
      <c r="F55" s="5" t="s">
        <v>187</v>
      </c>
      <c r="G55" s="5" t="s">
        <v>386</v>
      </c>
      <c r="H55" s="14" t="n">
        <v>0.872</v>
      </c>
      <c r="I55" s="14" t="n">
        <v>5.23</v>
      </c>
      <c r="J55" s="0" t="n">
        <v>6</v>
      </c>
      <c r="L55" s="0" t="n">
        <v>15</v>
      </c>
      <c r="M55" s="6" t="n">
        <v>78.45</v>
      </c>
      <c r="N55" s="5" t="s">
        <v>77</v>
      </c>
    </row>
    <row r="56" customFormat="false" ht="15" hidden="false" customHeight="false" outlineLevel="0" collapsed="false">
      <c r="A56" s="4" t="n">
        <v>45967</v>
      </c>
      <c r="B56" s="5" t="s">
        <v>11</v>
      </c>
      <c r="C56" s="5" t="s">
        <v>12</v>
      </c>
      <c r="D56" s="5" t="s">
        <v>160</v>
      </c>
      <c r="E56" s="5" t="s">
        <v>208</v>
      </c>
      <c r="F56" s="5" t="s">
        <v>209</v>
      </c>
      <c r="G56" s="5" t="s">
        <v>78</v>
      </c>
      <c r="H56" s="14" t="n">
        <v>10.65</v>
      </c>
      <c r="I56" s="14" t="n">
        <v>10.65</v>
      </c>
      <c r="J56" s="0" t="n">
        <v>1</v>
      </c>
      <c r="L56" s="0" t="n">
        <v>1</v>
      </c>
      <c r="M56" s="6" t="n">
        <v>10.65</v>
      </c>
      <c r="N56" s="5" t="s">
        <v>77</v>
      </c>
    </row>
    <row r="57" customFormat="false" ht="15" hidden="false" customHeight="false" outlineLevel="0" collapsed="false">
      <c r="A57" s="4" t="n">
        <v>45967</v>
      </c>
      <c r="B57" s="5" t="s">
        <v>11</v>
      </c>
      <c r="C57" s="5" t="s">
        <v>12</v>
      </c>
      <c r="D57" s="5" t="s">
        <v>328</v>
      </c>
      <c r="E57" s="5" t="s">
        <v>167</v>
      </c>
      <c r="F57" s="5" t="s">
        <v>168</v>
      </c>
      <c r="G57" s="5" t="s">
        <v>78</v>
      </c>
      <c r="H57" s="14" t="n">
        <v>8.55</v>
      </c>
      <c r="I57" s="14" t="n">
        <v>8.55</v>
      </c>
      <c r="J57" s="0" t="n">
        <v>1</v>
      </c>
      <c r="L57" s="0" t="n">
        <v>1</v>
      </c>
      <c r="M57" s="6" t="n">
        <v>8.55</v>
      </c>
      <c r="N57" s="5" t="s">
        <v>115</v>
      </c>
    </row>
    <row r="58" customFormat="false" ht="15" hidden="false" customHeight="false" outlineLevel="0" collapsed="false">
      <c r="A58" s="4" t="n">
        <v>45967</v>
      </c>
      <c r="B58" s="5" t="s">
        <v>11</v>
      </c>
      <c r="C58" s="5" t="s">
        <v>12</v>
      </c>
      <c r="D58" s="5" t="s">
        <v>328</v>
      </c>
      <c r="E58" s="5" t="s">
        <v>206</v>
      </c>
      <c r="F58" s="5" t="s">
        <v>207</v>
      </c>
      <c r="G58" s="5" t="s">
        <v>78</v>
      </c>
      <c r="H58" s="14" t="n">
        <v>6.69</v>
      </c>
      <c r="I58" s="14" t="n">
        <v>6.69</v>
      </c>
      <c r="J58" s="0" t="n">
        <v>1</v>
      </c>
      <c r="L58" s="0" t="n">
        <v>1</v>
      </c>
      <c r="M58" s="6" t="n">
        <v>6.69</v>
      </c>
      <c r="N58" s="5" t="s">
        <v>115</v>
      </c>
    </row>
    <row r="59" customFormat="false" ht="15" hidden="false" customHeight="false" outlineLevel="0" collapsed="false">
      <c r="A59" s="21" t="n">
        <v>45979</v>
      </c>
      <c r="B59" s="22" t="s">
        <v>13</v>
      </c>
      <c r="C59" s="22" t="s">
        <v>14</v>
      </c>
      <c r="D59" s="22"/>
      <c r="E59" s="22" t="s">
        <v>152</v>
      </c>
      <c r="F59" s="22" t="s">
        <v>153</v>
      </c>
      <c r="G59" s="22" t="s">
        <v>386</v>
      </c>
      <c r="H59" s="16" t="n">
        <v>0.54</v>
      </c>
      <c r="I59" s="16" t="n">
        <v>12.96</v>
      </c>
      <c r="J59" s="22" t="n">
        <v>24</v>
      </c>
      <c r="K59" s="22"/>
      <c r="L59" s="22" t="n">
        <v>1</v>
      </c>
      <c r="M59" s="23" t="n">
        <v>12.96</v>
      </c>
      <c r="N59" s="22" t="s">
        <v>77</v>
      </c>
      <c r="O59" s="22" t="s">
        <v>387</v>
      </c>
    </row>
    <row r="60" customFormat="false" ht="15" hidden="false" customHeight="false" outlineLevel="0" collapsed="false">
      <c r="A60" s="4" t="n">
        <v>45979</v>
      </c>
      <c r="B60" s="5" t="s">
        <v>13</v>
      </c>
      <c r="C60" s="5" t="s">
        <v>14</v>
      </c>
      <c r="E60" s="5" t="s">
        <v>105</v>
      </c>
      <c r="F60" s="5" t="s">
        <v>106</v>
      </c>
      <c r="G60" s="5" t="s">
        <v>386</v>
      </c>
      <c r="H60" s="14" t="n">
        <v>0.63</v>
      </c>
      <c r="I60" s="14" t="n">
        <v>15.12</v>
      </c>
      <c r="J60" s="0" t="n">
        <v>24</v>
      </c>
      <c r="L60" s="0" t="n">
        <v>1</v>
      </c>
      <c r="M60" s="6" t="n">
        <v>15.12</v>
      </c>
      <c r="N60" s="5" t="s">
        <v>77</v>
      </c>
    </row>
    <row r="61" customFormat="false" ht="15" hidden="false" customHeight="false" outlineLevel="0" collapsed="false">
      <c r="A61" s="4" t="n">
        <v>45979</v>
      </c>
      <c r="B61" s="5" t="s">
        <v>13</v>
      </c>
      <c r="C61" s="5" t="s">
        <v>14</v>
      </c>
      <c r="E61" s="5" t="s">
        <v>367</v>
      </c>
      <c r="F61" s="5" t="s">
        <v>368</v>
      </c>
      <c r="G61" s="5" t="s">
        <v>386</v>
      </c>
      <c r="H61" s="14" t="n">
        <v>0.727</v>
      </c>
      <c r="I61" s="14" t="n">
        <v>17.45</v>
      </c>
      <c r="J61" s="0" t="n">
        <v>24</v>
      </c>
      <c r="L61" s="0" t="n">
        <v>1</v>
      </c>
      <c r="M61" s="6" t="n">
        <v>17.45</v>
      </c>
      <c r="N61" s="5" t="s">
        <v>77</v>
      </c>
    </row>
    <row r="62" customFormat="false" ht="15" hidden="false" customHeight="false" outlineLevel="0" collapsed="false">
      <c r="A62" s="4" t="n">
        <v>45979</v>
      </c>
      <c r="B62" s="5" t="s">
        <v>13</v>
      </c>
      <c r="C62" s="5" t="s">
        <v>14</v>
      </c>
      <c r="E62" s="5" t="s">
        <v>101</v>
      </c>
      <c r="F62" s="5" t="s">
        <v>102</v>
      </c>
      <c r="G62" s="5" t="s">
        <v>386</v>
      </c>
      <c r="H62" s="14" t="n">
        <v>0.801</v>
      </c>
      <c r="I62" s="14" t="n">
        <v>19.23</v>
      </c>
      <c r="J62" s="0" t="n">
        <v>24</v>
      </c>
      <c r="L62" s="0" t="n">
        <v>1</v>
      </c>
      <c r="M62" s="6" t="n">
        <v>19.23</v>
      </c>
      <c r="N62" s="5" t="s">
        <v>77</v>
      </c>
    </row>
    <row r="63" customFormat="false" ht="15" hidden="false" customHeight="false" outlineLevel="0" collapsed="false">
      <c r="A63" s="4" t="n">
        <v>45979</v>
      </c>
      <c r="B63" s="5" t="s">
        <v>13</v>
      </c>
      <c r="C63" s="5" t="s">
        <v>14</v>
      </c>
      <c r="E63" s="5" t="s">
        <v>148</v>
      </c>
      <c r="F63" s="5" t="s">
        <v>149</v>
      </c>
      <c r="G63" s="5" t="s">
        <v>386</v>
      </c>
      <c r="H63" s="14" t="n">
        <v>0.538</v>
      </c>
      <c r="I63" s="14" t="n">
        <v>12.91</v>
      </c>
      <c r="J63" s="0" t="n">
        <v>24</v>
      </c>
      <c r="L63" s="0" t="n">
        <v>1</v>
      </c>
      <c r="M63" s="6" t="n">
        <v>12.91</v>
      </c>
      <c r="N63" s="5" t="s">
        <v>77</v>
      </c>
    </row>
    <row r="64" customFormat="false" ht="15" hidden="false" customHeight="false" outlineLevel="0" collapsed="false">
      <c r="A64" s="4" t="n">
        <v>45979</v>
      </c>
      <c r="B64" s="5" t="s">
        <v>13</v>
      </c>
      <c r="C64" s="5" t="s">
        <v>14</v>
      </c>
      <c r="E64" s="5" t="s">
        <v>148</v>
      </c>
      <c r="F64" s="5" t="s">
        <v>149</v>
      </c>
      <c r="G64" s="5" t="s">
        <v>386</v>
      </c>
      <c r="H64" s="14" t="n">
        <v>0.538</v>
      </c>
      <c r="I64" s="14" t="n">
        <v>12.91</v>
      </c>
      <c r="J64" s="0" t="n">
        <v>24</v>
      </c>
      <c r="L64" s="0" t="n">
        <v>1</v>
      </c>
      <c r="M64" s="6" t="n">
        <v>12.91</v>
      </c>
      <c r="N64" s="5" t="s">
        <v>77</v>
      </c>
    </row>
    <row r="65" customFormat="false" ht="15" hidden="false" customHeight="false" outlineLevel="0" collapsed="false">
      <c r="A65" s="4" t="n">
        <v>45979</v>
      </c>
      <c r="B65" s="5" t="s">
        <v>13</v>
      </c>
      <c r="C65" s="5" t="s">
        <v>14</v>
      </c>
      <c r="E65" s="5" t="s">
        <v>148</v>
      </c>
      <c r="F65" s="5" t="s">
        <v>149</v>
      </c>
      <c r="G65" s="5" t="s">
        <v>386</v>
      </c>
      <c r="H65" s="14" t="n">
        <v>0.538</v>
      </c>
      <c r="I65" s="14" t="n">
        <v>12.91</v>
      </c>
      <c r="J65" s="0" t="n">
        <v>24</v>
      </c>
      <c r="L65" s="0" t="n">
        <v>1</v>
      </c>
      <c r="M65" s="6" t="n">
        <v>12.91</v>
      </c>
      <c r="N65" s="5" t="s">
        <v>77</v>
      </c>
    </row>
    <row r="66" customFormat="false" ht="15" hidden="false" customHeight="false" outlineLevel="0" collapsed="false">
      <c r="A66" s="4" t="n">
        <v>45979</v>
      </c>
      <c r="B66" s="5" t="s">
        <v>13</v>
      </c>
      <c r="C66" s="5" t="s">
        <v>14</v>
      </c>
      <c r="E66" s="5" t="s">
        <v>146</v>
      </c>
      <c r="F66" s="5" t="s">
        <v>147</v>
      </c>
      <c r="G66" s="5" t="s">
        <v>386</v>
      </c>
      <c r="H66" s="14" t="n">
        <v>0.58</v>
      </c>
      <c r="I66" s="14" t="n">
        <v>13.92</v>
      </c>
      <c r="J66" s="0" t="n">
        <v>24</v>
      </c>
      <c r="L66" s="0" t="n">
        <v>2</v>
      </c>
      <c r="M66" s="6" t="n">
        <v>27.84</v>
      </c>
      <c r="N66" s="5" t="s">
        <v>77</v>
      </c>
    </row>
    <row r="67" customFormat="false" ht="15" hidden="false" customHeight="false" outlineLevel="0" collapsed="false">
      <c r="A67" s="21" t="n">
        <v>45979</v>
      </c>
      <c r="B67" s="22" t="s">
        <v>13</v>
      </c>
      <c r="C67" s="22" t="s">
        <v>14</v>
      </c>
      <c r="D67" s="22"/>
      <c r="E67" s="22" t="s">
        <v>84</v>
      </c>
      <c r="F67" s="22" t="s">
        <v>85</v>
      </c>
      <c r="G67" s="22" t="s">
        <v>386</v>
      </c>
      <c r="H67" s="16" t="n">
        <v>1.169</v>
      </c>
      <c r="I67" s="16" t="n">
        <v>14.03</v>
      </c>
      <c r="J67" s="22" t="n">
        <v>12</v>
      </c>
      <c r="K67" s="22"/>
      <c r="L67" s="22" t="n">
        <v>2</v>
      </c>
      <c r="M67" s="23" t="n">
        <v>28.06</v>
      </c>
      <c r="N67" s="22" t="s">
        <v>77</v>
      </c>
      <c r="O67" s="22" t="s">
        <v>387</v>
      </c>
    </row>
    <row r="68" customFormat="false" ht="15" hidden="false" customHeight="false" outlineLevel="0" collapsed="false">
      <c r="A68" s="21" t="n">
        <v>45979</v>
      </c>
      <c r="B68" s="22" t="s">
        <v>13</v>
      </c>
      <c r="C68" s="22" t="s">
        <v>14</v>
      </c>
      <c r="D68" s="22"/>
      <c r="E68" s="22" t="s">
        <v>86</v>
      </c>
      <c r="F68" s="22" t="s">
        <v>87</v>
      </c>
      <c r="G68" s="22" t="s">
        <v>386</v>
      </c>
      <c r="H68" s="16" t="n">
        <v>1.169</v>
      </c>
      <c r="I68" s="16" t="n">
        <v>14.03</v>
      </c>
      <c r="J68" s="22" t="n">
        <v>12</v>
      </c>
      <c r="K68" s="22"/>
      <c r="L68" s="22" t="n">
        <v>2</v>
      </c>
      <c r="M68" s="23" t="n">
        <v>28.06</v>
      </c>
      <c r="N68" s="22" t="s">
        <v>77</v>
      </c>
      <c r="O68" s="22" t="s">
        <v>387</v>
      </c>
    </row>
    <row r="69" customFormat="false" ht="15" hidden="false" customHeight="false" outlineLevel="0" collapsed="false">
      <c r="A69" s="21" t="n">
        <v>45979</v>
      </c>
      <c r="B69" s="22" t="s">
        <v>13</v>
      </c>
      <c r="C69" s="22" t="s">
        <v>14</v>
      </c>
      <c r="D69" s="22"/>
      <c r="E69" s="22" t="s">
        <v>88</v>
      </c>
      <c r="F69" s="22" t="s">
        <v>89</v>
      </c>
      <c r="G69" s="22" t="s">
        <v>386</v>
      </c>
      <c r="H69" s="16" t="n">
        <v>1.063</v>
      </c>
      <c r="I69" s="16" t="n">
        <v>12.75</v>
      </c>
      <c r="J69" s="22" t="n">
        <v>12</v>
      </c>
      <c r="K69" s="22"/>
      <c r="L69" s="22" t="n">
        <v>2</v>
      </c>
      <c r="M69" s="23" t="n">
        <v>25.5</v>
      </c>
      <c r="N69" s="22" t="s">
        <v>77</v>
      </c>
      <c r="O69" s="22" t="s">
        <v>387</v>
      </c>
    </row>
    <row r="70" customFormat="false" ht="15" hidden="false" customHeight="false" outlineLevel="0" collapsed="false">
      <c r="A70" s="21" t="n">
        <v>45979</v>
      </c>
      <c r="B70" s="22" t="s">
        <v>13</v>
      </c>
      <c r="C70" s="22" t="s">
        <v>14</v>
      </c>
      <c r="D70" s="22"/>
      <c r="E70" s="22" t="s">
        <v>109</v>
      </c>
      <c r="F70" s="22" t="s">
        <v>110</v>
      </c>
      <c r="G70" s="22" t="s">
        <v>386</v>
      </c>
      <c r="H70" s="16" t="n">
        <v>0.464</v>
      </c>
      <c r="I70" s="16" t="n">
        <v>11.13</v>
      </c>
      <c r="J70" s="22" t="n">
        <v>24</v>
      </c>
      <c r="K70" s="22"/>
      <c r="L70" s="22" t="n">
        <v>1</v>
      </c>
      <c r="M70" s="23" t="n">
        <v>11.13</v>
      </c>
      <c r="N70" s="22" t="s">
        <v>77</v>
      </c>
      <c r="O70" s="22" t="s">
        <v>387</v>
      </c>
    </row>
    <row r="71" customFormat="false" ht="15" hidden="false" customHeight="false" outlineLevel="0" collapsed="false">
      <c r="A71" s="21" t="n">
        <v>45979</v>
      </c>
      <c r="B71" s="22" t="s">
        <v>13</v>
      </c>
      <c r="C71" s="22" t="s">
        <v>14</v>
      </c>
      <c r="D71" s="22"/>
      <c r="E71" s="22" t="s">
        <v>111</v>
      </c>
      <c r="F71" s="22" t="s">
        <v>112</v>
      </c>
      <c r="G71" s="22" t="s">
        <v>386</v>
      </c>
      <c r="H71" s="16" t="n">
        <v>0.508</v>
      </c>
      <c r="I71" s="16" t="n">
        <v>12.18</v>
      </c>
      <c r="J71" s="22" t="n">
        <v>24</v>
      </c>
      <c r="K71" s="22"/>
      <c r="L71" s="22" t="n">
        <v>1</v>
      </c>
      <c r="M71" s="23" t="n">
        <v>12.18</v>
      </c>
      <c r="N71" s="22" t="s">
        <v>77</v>
      </c>
      <c r="O71" s="22" t="s">
        <v>387</v>
      </c>
    </row>
    <row r="72" customFormat="false" ht="15" hidden="false" customHeight="false" outlineLevel="0" collapsed="false">
      <c r="A72" s="21" t="n">
        <v>45979</v>
      </c>
      <c r="B72" s="22" t="s">
        <v>13</v>
      </c>
      <c r="C72" s="22" t="s">
        <v>14</v>
      </c>
      <c r="D72" s="22"/>
      <c r="E72" s="22" t="s">
        <v>90</v>
      </c>
      <c r="F72" s="22" t="s">
        <v>91</v>
      </c>
      <c r="G72" s="22" t="s">
        <v>386</v>
      </c>
      <c r="H72" s="16" t="n">
        <v>0.509</v>
      </c>
      <c r="I72" s="16" t="n">
        <v>12.22</v>
      </c>
      <c r="J72" s="22" t="n">
        <v>24</v>
      </c>
      <c r="K72" s="22"/>
      <c r="L72" s="22" t="n">
        <v>1</v>
      </c>
      <c r="M72" s="23" t="n">
        <v>12.22</v>
      </c>
      <c r="N72" s="22" t="s">
        <v>77</v>
      </c>
      <c r="O72" s="22" t="s">
        <v>387</v>
      </c>
    </row>
    <row r="73" customFormat="false" ht="15" hidden="false" customHeight="false" outlineLevel="0" collapsed="false">
      <c r="A73" s="4" t="n">
        <v>45979</v>
      </c>
      <c r="B73" s="5" t="s">
        <v>13</v>
      </c>
      <c r="C73" s="5" t="s">
        <v>14</v>
      </c>
      <c r="E73" s="5" t="s">
        <v>193</v>
      </c>
      <c r="F73" s="5" t="s">
        <v>194</v>
      </c>
      <c r="G73" s="5" t="s">
        <v>386</v>
      </c>
      <c r="H73" s="14" t="n">
        <v>0.581</v>
      </c>
      <c r="I73" s="14" t="n">
        <v>13.95</v>
      </c>
      <c r="J73" s="0" t="n">
        <v>24</v>
      </c>
      <c r="L73" s="0" t="n">
        <v>1</v>
      </c>
      <c r="M73" s="6" t="n">
        <v>13.95</v>
      </c>
      <c r="N73" s="5" t="s">
        <v>77</v>
      </c>
    </row>
    <row r="74" customFormat="false" ht="15" hidden="false" customHeight="false" outlineLevel="0" collapsed="false">
      <c r="A74" s="4" t="n">
        <v>45979</v>
      </c>
      <c r="B74" s="5" t="s">
        <v>13</v>
      </c>
      <c r="C74" s="5" t="s">
        <v>14</v>
      </c>
      <c r="E74" s="5" t="s">
        <v>134</v>
      </c>
      <c r="F74" s="5" t="s">
        <v>135</v>
      </c>
      <c r="G74" s="5" t="s">
        <v>386</v>
      </c>
      <c r="H74" s="14" t="n">
        <v>0.638</v>
      </c>
      <c r="I74" s="14" t="n">
        <v>15.31</v>
      </c>
      <c r="J74" s="0" t="n">
        <v>24</v>
      </c>
      <c r="L74" s="0" t="n">
        <v>3</v>
      </c>
      <c r="M74" s="6" t="n">
        <v>45.93</v>
      </c>
      <c r="N74" s="5" t="s">
        <v>77</v>
      </c>
    </row>
    <row r="75" customFormat="false" ht="15" hidden="false" customHeight="false" outlineLevel="0" collapsed="false">
      <c r="A75" s="21" t="n">
        <v>45979</v>
      </c>
      <c r="B75" s="22" t="s">
        <v>13</v>
      </c>
      <c r="C75" s="22" t="s">
        <v>14</v>
      </c>
      <c r="D75" s="22"/>
      <c r="E75" s="22" t="s">
        <v>136</v>
      </c>
      <c r="F75" s="22" t="s">
        <v>137</v>
      </c>
      <c r="G75" s="22" t="s">
        <v>386</v>
      </c>
      <c r="H75" s="16" t="n">
        <v>0.609</v>
      </c>
      <c r="I75" s="16" t="n">
        <v>14.61</v>
      </c>
      <c r="J75" s="22" t="n">
        <v>24</v>
      </c>
      <c r="K75" s="22"/>
      <c r="L75" s="22" t="n">
        <v>3</v>
      </c>
      <c r="M75" s="23" t="n">
        <v>43.83</v>
      </c>
      <c r="N75" s="22" t="s">
        <v>77</v>
      </c>
      <c r="O75" s="22" t="s">
        <v>387</v>
      </c>
    </row>
    <row r="76" customFormat="false" ht="15" hidden="false" customHeight="false" outlineLevel="0" collapsed="false">
      <c r="A76" s="4" t="n">
        <v>45979</v>
      </c>
      <c r="B76" s="5" t="s">
        <v>13</v>
      </c>
      <c r="C76" s="5" t="s">
        <v>14</v>
      </c>
      <c r="E76" s="5" t="s">
        <v>144</v>
      </c>
      <c r="F76" s="5" t="s">
        <v>145</v>
      </c>
      <c r="G76" s="5" t="s">
        <v>386</v>
      </c>
      <c r="H76" s="14" t="n">
        <v>0.547</v>
      </c>
      <c r="I76" s="14" t="n">
        <v>13.12</v>
      </c>
      <c r="J76" s="0" t="n">
        <v>24</v>
      </c>
      <c r="L76" s="0" t="n">
        <v>1</v>
      </c>
      <c r="M76" s="6" t="n">
        <v>13.12</v>
      </c>
      <c r="N76" s="5" t="s">
        <v>77</v>
      </c>
    </row>
    <row r="77" customFormat="false" ht="15" hidden="false" customHeight="false" outlineLevel="0" collapsed="false">
      <c r="A77" s="4" t="n">
        <v>45979</v>
      </c>
      <c r="B77" s="5" t="s">
        <v>13</v>
      </c>
      <c r="C77" s="5" t="s">
        <v>14</v>
      </c>
      <c r="E77" s="5" t="s">
        <v>142</v>
      </c>
      <c r="F77" s="5" t="s">
        <v>143</v>
      </c>
      <c r="G77" s="5" t="s">
        <v>386</v>
      </c>
      <c r="H77" s="14" t="n">
        <v>0.568</v>
      </c>
      <c r="I77" s="14" t="n">
        <v>13.64</v>
      </c>
      <c r="J77" s="0" t="n">
        <v>24</v>
      </c>
      <c r="L77" s="0" t="n">
        <v>1</v>
      </c>
      <c r="M77" s="6" t="n">
        <v>13.64</v>
      </c>
      <c r="N77" s="5" t="s">
        <v>77</v>
      </c>
    </row>
    <row r="78" customFormat="false" ht="15" hidden="false" customHeight="false" outlineLevel="0" collapsed="false">
      <c r="A78" s="4" t="n">
        <v>45979</v>
      </c>
      <c r="B78" s="5" t="s">
        <v>13</v>
      </c>
      <c r="C78" s="5" t="s">
        <v>14</v>
      </c>
      <c r="E78" s="5" t="s">
        <v>103</v>
      </c>
      <c r="F78" s="5" t="s">
        <v>104</v>
      </c>
      <c r="G78" s="5" t="s">
        <v>386</v>
      </c>
      <c r="H78" s="14" t="n">
        <v>0.613</v>
      </c>
      <c r="I78" s="14" t="n">
        <v>14.7</v>
      </c>
      <c r="J78" s="0" t="n">
        <v>24</v>
      </c>
      <c r="L78" s="0" t="n">
        <v>1</v>
      </c>
      <c r="M78" s="6" t="n">
        <v>14.7</v>
      </c>
      <c r="N78" s="5" t="s">
        <v>77</v>
      </c>
    </row>
    <row r="79" customFormat="false" ht="15" hidden="false" customHeight="false" outlineLevel="0" collapsed="false">
      <c r="A79" s="4" t="n">
        <v>45979</v>
      </c>
      <c r="B79" s="5" t="s">
        <v>13</v>
      </c>
      <c r="C79" s="5" t="s">
        <v>14</v>
      </c>
      <c r="E79" s="5" t="s">
        <v>357</v>
      </c>
      <c r="F79" s="5" t="s">
        <v>358</v>
      </c>
      <c r="G79" s="5" t="s">
        <v>386</v>
      </c>
      <c r="H79" s="14" t="n">
        <v>3.753</v>
      </c>
      <c r="I79" s="14" t="n">
        <v>15.01</v>
      </c>
      <c r="J79" s="0" t="n">
        <v>4</v>
      </c>
      <c r="L79" s="0" t="n">
        <v>2</v>
      </c>
      <c r="M79" s="6" t="n">
        <v>30.02</v>
      </c>
      <c r="N79" s="5" t="s">
        <v>77</v>
      </c>
    </row>
    <row r="80" customFormat="false" ht="15" hidden="false" customHeight="false" outlineLevel="0" collapsed="false">
      <c r="A80" s="4" t="n">
        <v>45979</v>
      </c>
      <c r="B80" s="5" t="s">
        <v>13</v>
      </c>
      <c r="C80" s="5" t="s">
        <v>14</v>
      </c>
      <c r="E80" s="5" t="s">
        <v>99</v>
      </c>
      <c r="F80" s="5" t="s">
        <v>100</v>
      </c>
      <c r="G80" s="5" t="s">
        <v>386</v>
      </c>
      <c r="H80" s="14" t="n">
        <v>0.49</v>
      </c>
      <c r="I80" s="14" t="n">
        <v>11.75</v>
      </c>
      <c r="J80" s="0" t="n">
        <v>24</v>
      </c>
      <c r="L80" s="0" t="n">
        <v>1</v>
      </c>
      <c r="M80" s="6" t="n">
        <v>11.75</v>
      </c>
      <c r="N80" s="5" t="s">
        <v>77</v>
      </c>
    </row>
    <row r="81" customFormat="false" ht="15" hidden="false" customHeight="false" outlineLevel="0" collapsed="false">
      <c r="A81" s="4" t="n">
        <v>45979</v>
      </c>
      <c r="B81" s="5" t="s">
        <v>13</v>
      </c>
      <c r="C81" s="5" t="s">
        <v>14</v>
      </c>
      <c r="E81" s="5" t="s">
        <v>195</v>
      </c>
      <c r="F81" s="5" t="s">
        <v>196</v>
      </c>
      <c r="G81" s="5" t="s">
        <v>386</v>
      </c>
      <c r="H81" s="14" t="n">
        <v>0.687</v>
      </c>
      <c r="I81" s="14" t="n">
        <v>16.49</v>
      </c>
      <c r="J81" s="0" t="n">
        <v>24</v>
      </c>
      <c r="L81" s="0" t="n">
        <v>1</v>
      </c>
      <c r="M81" s="6" t="n">
        <v>16.49</v>
      </c>
      <c r="N81" s="5" t="s">
        <v>77</v>
      </c>
    </row>
    <row r="82" customFormat="false" ht="15" hidden="false" customHeight="false" outlineLevel="0" collapsed="false">
      <c r="A82" s="4" t="n">
        <v>45979</v>
      </c>
      <c r="B82" s="5" t="s">
        <v>13</v>
      </c>
      <c r="C82" s="5" t="s">
        <v>14</v>
      </c>
      <c r="E82" s="5" t="s">
        <v>107</v>
      </c>
      <c r="F82" s="5" t="s">
        <v>108</v>
      </c>
      <c r="G82" s="5" t="s">
        <v>386</v>
      </c>
      <c r="H82" s="14" t="n">
        <v>0.663</v>
      </c>
      <c r="I82" s="14" t="n">
        <v>15.91</v>
      </c>
      <c r="J82" s="0" t="n">
        <v>24</v>
      </c>
      <c r="L82" s="0" t="n">
        <v>1</v>
      </c>
      <c r="M82" s="6" t="n">
        <v>15.91</v>
      </c>
      <c r="N82" s="5" t="s">
        <v>77</v>
      </c>
    </row>
    <row r="83" customFormat="false" ht="15" hidden="false" customHeight="false" outlineLevel="0" collapsed="false">
      <c r="A83" s="4" t="n">
        <v>45979</v>
      </c>
      <c r="B83" s="5" t="s">
        <v>13</v>
      </c>
      <c r="C83" s="5" t="s">
        <v>14</v>
      </c>
      <c r="E83" s="5" t="s">
        <v>154</v>
      </c>
      <c r="F83" s="5" t="s">
        <v>155</v>
      </c>
      <c r="G83" s="5" t="s">
        <v>386</v>
      </c>
      <c r="H83" s="14" t="n">
        <v>0.511</v>
      </c>
      <c r="I83" s="14" t="n">
        <v>12.26</v>
      </c>
      <c r="J83" s="0" t="n">
        <v>24</v>
      </c>
      <c r="L83" s="0" t="n">
        <v>1</v>
      </c>
      <c r="M83" s="6" t="n">
        <v>12.26</v>
      </c>
      <c r="N83" s="5" t="s">
        <v>77</v>
      </c>
    </row>
    <row r="84" customFormat="false" ht="15" hidden="false" customHeight="false" outlineLevel="0" collapsed="false">
      <c r="A84" s="4" t="n">
        <v>45979</v>
      </c>
      <c r="B84" s="5" t="s">
        <v>13</v>
      </c>
      <c r="C84" s="5" t="s">
        <v>14</v>
      </c>
      <c r="D84" s="5" t="s">
        <v>98</v>
      </c>
      <c r="E84" s="5" t="s">
        <v>264</v>
      </c>
      <c r="F84" s="5" t="s">
        <v>265</v>
      </c>
      <c r="G84" s="5" t="s">
        <v>78</v>
      </c>
      <c r="H84" s="14" t="n">
        <v>19.7</v>
      </c>
      <c r="I84" s="14" t="n">
        <v>19.7</v>
      </c>
      <c r="J84" s="0" t="n">
        <v>1</v>
      </c>
      <c r="L84" s="0" t="n">
        <v>1</v>
      </c>
      <c r="M84" s="6" t="n">
        <v>19.7</v>
      </c>
      <c r="N84" s="5" t="s">
        <v>77</v>
      </c>
    </row>
    <row r="85" customFormat="false" ht="15" hidden="false" customHeight="false" outlineLevel="0" collapsed="false">
      <c r="A85" s="4" t="n">
        <v>45979</v>
      </c>
      <c r="B85" s="5" t="s">
        <v>13</v>
      </c>
      <c r="C85" s="5" t="s">
        <v>14</v>
      </c>
      <c r="D85" s="5" t="s">
        <v>98</v>
      </c>
      <c r="E85" s="5" t="s">
        <v>242</v>
      </c>
      <c r="F85" s="5" t="s">
        <v>243</v>
      </c>
      <c r="G85" s="5" t="s">
        <v>78</v>
      </c>
      <c r="H85" s="14" t="n">
        <v>7.5</v>
      </c>
      <c r="I85" s="14" t="n">
        <v>7.5</v>
      </c>
      <c r="J85" s="0" t="n">
        <v>1</v>
      </c>
      <c r="L85" s="0" t="n">
        <v>1</v>
      </c>
      <c r="M85" s="6" t="n">
        <v>7.5</v>
      </c>
      <c r="N85" s="5" t="s">
        <v>115</v>
      </c>
    </row>
    <row r="86" customFormat="false" ht="15" hidden="false" customHeight="false" outlineLevel="0" collapsed="false">
      <c r="A86" s="21" t="n">
        <v>45979</v>
      </c>
      <c r="B86" s="22" t="s">
        <v>13</v>
      </c>
      <c r="C86" s="22" t="s">
        <v>14</v>
      </c>
      <c r="D86" s="22" t="s">
        <v>98</v>
      </c>
      <c r="E86" s="22" t="s">
        <v>92</v>
      </c>
      <c r="F86" s="22" t="s">
        <v>93</v>
      </c>
      <c r="G86" s="22" t="s">
        <v>386</v>
      </c>
      <c r="H86" s="16" t="n">
        <v>0.49</v>
      </c>
      <c r="I86" s="16" t="n">
        <v>11.76</v>
      </c>
      <c r="J86" s="22" t="n">
        <v>24</v>
      </c>
      <c r="K86" s="22"/>
      <c r="L86" s="22" t="n">
        <v>1</v>
      </c>
      <c r="M86" s="23" t="n">
        <v>11.76</v>
      </c>
      <c r="N86" s="22" t="s">
        <v>77</v>
      </c>
      <c r="O86" s="22" t="s">
        <v>387</v>
      </c>
    </row>
    <row r="87" customFormat="false" ht="15" hidden="false" customHeight="false" outlineLevel="0" collapsed="false">
      <c r="A87" s="4" t="n">
        <v>45979</v>
      </c>
      <c r="B87" s="5" t="s">
        <v>13</v>
      </c>
      <c r="C87" s="5" t="s">
        <v>14</v>
      </c>
      <c r="D87" s="5" t="s">
        <v>98</v>
      </c>
      <c r="E87" s="5" t="s">
        <v>118</v>
      </c>
      <c r="F87" s="5" t="s">
        <v>119</v>
      </c>
      <c r="G87" s="5" t="s">
        <v>386</v>
      </c>
      <c r="H87" s="14" t="n">
        <v>0.621</v>
      </c>
      <c r="I87" s="14" t="n">
        <v>14.9</v>
      </c>
      <c r="J87" s="0" t="n">
        <v>24</v>
      </c>
      <c r="L87" s="0" t="n">
        <v>1</v>
      </c>
      <c r="M87" s="6" t="n">
        <v>14.9</v>
      </c>
      <c r="N87" s="5" t="s">
        <v>77</v>
      </c>
    </row>
    <row r="88" customFormat="false" ht="15" hidden="false" customHeight="false" outlineLevel="0" collapsed="false">
      <c r="A88" s="4" t="n">
        <v>45979</v>
      </c>
      <c r="B88" s="5" t="s">
        <v>13</v>
      </c>
      <c r="C88" s="5" t="s">
        <v>14</v>
      </c>
      <c r="D88" s="5" t="s">
        <v>98</v>
      </c>
      <c r="E88" s="5" t="s">
        <v>174</v>
      </c>
      <c r="F88" s="5" t="s">
        <v>175</v>
      </c>
      <c r="G88" s="5" t="s">
        <v>386</v>
      </c>
      <c r="H88" s="14" t="n">
        <v>0.857</v>
      </c>
      <c r="I88" s="14" t="n">
        <v>20.57</v>
      </c>
      <c r="J88" s="0" t="n">
        <v>24</v>
      </c>
      <c r="L88" s="0" t="n">
        <v>1</v>
      </c>
      <c r="M88" s="6" t="n">
        <v>20.57</v>
      </c>
      <c r="N88" s="5" t="s">
        <v>115</v>
      </c>
    </row>
    <row r="89" customFormat="false" ht="15" hidden="false" customHeight="false" outlineLevel="0" collapsed="false">
      <c r="A89" s="4" t="n">
        <v>45979</v>
      </c>
      <c r="B89" s="5" t="s">
        <v>13</v>
      </c>
      <c r="C89" s="5" t="s">
        <v>14</v>
      </c>
      <c r="D89" s="5" t="s">
        <v>98</v>
      </c>
      <c r="E89" s="5" t="s">
        <v>74</v>
      </c>
      <c r="F89" s="5" t="s">
        <v>75</v>
      </c>
      <c r="G89" s="5" t="s">
        <v>386</v>
      </c>
      <c r="H89" s="14" t="n">
        <v>0.731</v>
      </c>
      <c r="I89" s="14" t="n">
        <v>21.92</v>
      </c>
      <c r="J89" s="0" t="n">
        <v>30</v>
      </c>
      <c r="L89" s="0" t="n">
        <v>2</v>
      </c>
      <c r="M89" s="6" t="n">
        <v>43.84</v>
      </c>
      <c r="N89" s="5" t="s">
        <v>77</v>
      </c>
    </row>
    <row r="90" customFormat="false" ht="15" hidden="false" customHeight="false" outlineLevel="0" collapsed="false">
      <c r="A90" s="4" t="n">
        <v>45979</v>
      </c>
      <c r="B90" s="5" t="s">
        <v>13</v>
      </c>
      <c r="C90" s="5" t="s">
        <v>14</v>
      </c>
      <c r="D90" s="5" t="s">
        <v>98</v>
      </c>
      <c r="E90" s="5" t="s">
        <v>82</v>
      </c>
      <c r="F90" s="5" t="s">
        <v>83</v>
      </c>
      <c r="G90" s="5" t="s">
        <v>386</v>
      </c>
      <c r="H90" s="14" t="n">
        <v>0.731</v>
      </c>
      <c r="I90" s="14" t="n">
        <v>21.92</v>
      </c>
      <c r="J90" s="0" t="n">
        <v>30</v>
      </c>
      <c r="L90" s="0" t="n">
        <v>1</v>
      </c>
      <c r="M90" s="6" t="n">
        <v>21.92</v>
      </c>
      <c r="N90" s="5" t="s">
        <v>77</v>
      </c>
    </row>
    <row r="91" customFormat="false" ht="15" hidden="false" customHeight="false" outlineLevel="0" collapsed="false">
      <c r="A91" s="4" t="n">
        <v>45979</v>
      </c>
      <c r="B91" s="5" t="s">
        <v>13</v>
      </c>
      <c r="C91" s="5" t="s">
        <v>14</v>
      </c>
      <c r="D91" s="5" t="s">
        <v>98</v>
      </c>
      <c r="E91" s="5" t="s">
        <v>178</v>
      </c>
      <c r="F91" s="5" t="s">
        <v>179</v>
      </c>
      <c r="G91" s="5" t="s">
        <v>386</v>
      </c>
      <c r="H91" s="14" t="n">
        <v>0.723</v>
      </c>
      <c r="I91" s="14" t="n">
        <v>17.36</v>
      </c>
      <c r="J91" s="0" t="n">
        <v>24</v>
      </c>
      <c r="L91" s="0" t="n">
        <v>1</v>
      </c>
      <c r="M91" s="6" t="n">
        <v>17.36</v>
      </c>
      <c r="N91" s="5" t="s">
        <v>115</v>
      </c>
    </row>
    <row r="92" customFormat="false" ht="15" hidden="false" customHeight="false" outlineLevel="0" collapsed="false">
      <c r="A92" s="4" t="n">
        <v>45979</v>
      </c>
      <c r="B92" s="5" t="s">
        <v>13</v>
      </c>
      <c r="C92" s="5" t="s">
        <v>14</v>
      </c>
      <c r="D92" s="5" t="s">
        <v>98</v>
      </c>
      <c r="E92" s="5" t="s">
        <v>113</v>
      </c>
      <c r="F92" s="5" t="s">
        <v>114</v>
      </c>
      <c r="G92" s="5" t="s">
        <v>386</v>
      </c>
      <c r="H92" s="14" t="n">
        <v>0.492</v>
      </c>
      <c r="I92" s="14" t="n">
        <v>11.81</v>
      </c>
      <c r="J92" s="0" t="n">
        <v>24</v>
      </c>
      <c r="L92" s="0" t="n">
        <v>1</v>
      </c>
      <c r="M92" s="6" t="n">
        <v>11.81</v>
      </c>
      <c r="N92" s="5" t="s">
        <v>115</v>
      </c>
    </row>
    <row r="93" customFormat="false" ht="15" hidden="false" customHeight="false" outlineLevel="0" collapsed="false">
      <c r="A93" s="4" t="n">
        <v>45979</v>
      </c>
      <c r="B93" s="5" t="s">
        <v>13</v>
      </c>
      <c r="C93" s="5" t="s">
        <v>14</v>
      </c>
      <c r="D93" s="5" t="s">
        <v>98</v>
      </c>
      <c r="E93" s="5" t="s">
        <v>226</v>
      </c>
      <c r="F93" s="5" t="s">
        <v>227</v>
      </c>
      <c r="G93" s="5" t="s">
        <v>386</v>
      </c>
      <c r="H93" s="14" t="n">
        <v>1.075</v>
      </c>
      <c r="I93" s="14" t="n">
        <v>4.3</v>
      </c>
      <c r="J93" s="0" t="n">
        <v>4</v>
      </c>
      <c r="L93" s="0" t="n">
        <v>2</v>
      </c>
      <c r="M93" s="6" t="n">
        <v>8.6</v>
      </c>
      <c r="N93" s="5" t="s">
        <v>77</v>
      </c>
    </row>
    <row r="94" customFormat="false" ht="15" hidden="false" customHeight="false" outlineLevel="0" collapsed="false">
      <c r="A94" s="4" t="n">
        <v>45979</v>
      </c>
      <c r="B94" s="5" t="s">
        <v>13</v>
      </c>
      <c r="C94" s="5" t="s">
        <v>14</v>
      </c>
      <c r="D94" s="5" t="s">
        <v>98</v>
      </c>
      <c r="E94" s="5" t="s">
        <v>130</v>
      </c>
      <c r="F94" s="5" t="s">
        <v>131</v>
      </c>
      <c r="G94" s="5" t="s">
        <v>386</v>
      </c>
      <c r="H94" s="14" t="n">
        <v>1.103</v>
      </c>
      <c r="I94" s="14" t="n">
        <v>4.41</v>
      </c>
      <c r="J94" s="0" t="n">
        <v>4</v>
      </c>
      <c r="L94" s="0" t="n">
        <v>2</v>
      </c>
      <c r="M94" s="6" t="n">
        <v>8.82</v>
      </c>
      <c r="N94" s="5" t="s">
        <v>77</v>
      </c>
    </row>
    <row r="95" customFormat="false" ht="15" hidden="false" customHeight="false" outlineLevel="0" collapsed="false">
      <c r="A95" s="21" t="n">
        <v>45979</v>
      </c>
      <c r="B95" s="22" t="s">
        <v>13</v>
      </c>
      <c r="C95" s="22" t="s">
        <v>14</v>
      </c>
      <c r="D95" s="22" t="s">
        <v>98</v>
      </c>
      <c r="E95" s="22" t="s">
        <v>132</v>
      </c>
      <c r="F95" s="22" t="s">
        <v>133</v>
      </c>
      <c r="G95" s="22" t="s">
        <v>386</v>
      </c>
      <c r="H95" s="16" t="n">
        <v>1.318</v>
      </c>
      <c r="I95" s="16" t="n">
        <v>5.27</v>
      </c>
      <c r="J95" s="22" t="n">
        <v>4</v>
      </c>
      <c r="K95" s="22"/>
      <c r="L95" s="22" t="n">
        <v>2</v>
      </c>
      <c r="M95" s="23" t="n">
        <v>10.54</v>
      </c>
      <c r="N95" s="22" t="s">
        <v>77</v>
      </c>
      <c r="O95" s="22" t="s">
        <v>387</v>
      </c>
    </row>
    <row r="96" customFormat="false" ht="15" hidden="false" customHeight="false" outlineLevel="0" collapsed="false">
      <c r="A96" s="4" t="n">
        <v>45979</v>
      </c>
      <c r="B96" s="5" t="s">
        <v>13</v>
      </c>
      <c r="C96" s="5" t="s">
        <v>14</v>
      </c>
      <c r="D96" s="5" t="s">
        <v>98</v>
      </c>
      <c r="E96" s="5" t="s">
        <v>124</v>
      </c>
      <c r="F96" s="5" t="s">
        <v>125</v>
      </c>
      <c r="G96" s="5" t="s">
        <v>386</v>
      </c>
      <c r="H96" s="14" t="n">
        <v>0.482</v>
      </c>
      <c r="I96" s="14" t="n">
        <v>9.63</v>
      </c>
      <c r="J96" s="0" t="n">
        <v>20</v>
      </c>
      <c r="L96" s="0" t="n">
        <v>2</v>
      </c>
      <c r="M96" s="6" t="n">
        <v>19.26</v>
      </c>
      <c r="N96" s="5" t="s">
        <v>77</v>
      </c>
    </row>
    <row r="97" customFormat="false" ht="15" hidden="false" customHeight="false" outlineLevel="0" collapsed="false">
      <c r="A97" s="21" t="n">
        <v>45979</v>
      </c>
      <c r="B97" s="22" t="s">
        <v>13</v>
      </c>
      <c r="C97" s="22" t="s">
        <v>14</v>
      </c>
      <c r="D97" s="22" t="s">
        <v>98</v>
      </c>
      <c r="E97" s="22" t="s">
        <v>94</v>
      </c>
      <c r="F97" s="22" t="s">
        <v>95</v>
      </c>
      <c r="G97" s="22" t="s">
        <v>386</v>
      </c>
      <c r="H97" s="16" t="n">
        <v>0.655</v>
      </c>
      <c r="I97" s="16" t="n">
        <v>15.72</v>
      </c>
      <c r="J97" s="22" t="n">
        <v>24</v>
      </c>
      <c r="K97" s="22"/>
      <c r="L97" s="22" t="n">
        <v>1</v>
      </c>
      <c r="M97" s="23" t="n">
        <v>15.72</v>
      </c>
      <c r="N97" s="22" t="s">
        <v>77</v>
      </c>
      <c r="O97" s="22" t="s">
        <v>387</v>
      </c>
    </row>
    <row r="98" customFormat="false" ht="15" hidden="false" customHeight="false" outlineLevel="0" collapsed="false">
      <c r="A98" s="21" t="n">
        <v>45979</v>
      </c>
      <c r="B98" s="22" t="s">
        <v>13</v>
      </c>
      <c r="C98" s="22" t="s">
        <v>14</v>
      </c>
      <c r="D98" s="22" t="s">
        <v>98</v>
      </c>
      <c r="E98" s="22" t="s">
        <v>96</v>
      </c>
      <c r="F98" s="22" t="s">
        <v>97</v>
      </c>
      <c r="G98" s="22" t="s">
        <v>386</v>
      </c>
      <c r="H98" s="16" t="n">
        <v>0.618</v>
      </c>
      <c r="I98" s="16" t="n">
        <v>14.83</v>
      </c>
      <c r="J98" s="22" t="n">
        <v>24</v>
      </c>
      <c r="K98" s="22"/>
      <c r="L98" s="22" t="n">
        <v>1</v>
      </c>
      <c r="M98" s="23" t="n">
        <v>14.83</v>
      </c>
      <c r="N98" s="22" t="s">
        <v>77</v>
      </c>
      <c r="O98" s="22" t="s">
        <v>387</v>
      </c>
    </row>
    <row r="99" customFormat="false" ht="15" hidden="false" customHeight="false" outlineLevel="0" collapsed="false">
      <c r="A99" s="4" t="n">
        <v>45979</v>
      </c>
      <c r="B99" s="5" t="s">
        <v>13</v>
      </c>
      <c r="C99" s="5" t="s">
        <v>14</v>
      </c>
      <c r="D99" s="5" t="s">
        <v>81</v>
      </c>
      <c r="E99" s="5" t="s">
        <v>189</v>
      </c>
      <c r="F99" s="5" t="s">
        <v>190</v>
      </c>
      <c r="G99" s="5" t="s">
        <v>78</v>
      </c>
      <c r="H99" s="14" t="n">
        <v>2.65</v>
      </c>
      <c r="I99" s="14" t="n">
        <v>2.65</v>
      </c>
      <c r="J99" s="0" t="n">
        <v>1</v>
      </c>
      <c r="L99" s="0" t="n">
        <v>8</v>
      </c>
      <c r="M99" s="6" t="n">
        <v>21.2</v>
      </c>
      <c r="N99" s="5" t="s">
        <v>77</v>
      </c>
    </row>
    <row r="100" customFormat="false" ht="15" hidden="false" customHeight="false" outlineLevel="0" collapsed="false">
      <c r="A100" s="4" t="n">
        <v>45979</v>
      </c>
      <c r="B100" s="5" t="s">
        <v>13</v>
      </c>
      <c r="C100" s="5" t="s">
        <v>14</v>
      </c>
      <c r="D100" s="5" t="s">
        <v>81</v>
      </c>
      <c r="E100" s="5" t="s">
        <v>186</v>
      </c>
      <c r="F100" s="5" t="s">
        <v>187</v>
      </c>
      <c r="G100" s="5" t="s">
        <v>386</v>
      </c>
      <c r="H100" s="14" t="n">
        <v>0.872</v>
      </c>
      <c r="I100" s="14" t="n">
        <v>5.23</v>
      </c>
      <c r="J100" s="0" t="n">
        <v>6</v>
      </c>
      <c r="L100" s="0" t="n">
        <v>13</v>
      </c>
      <c r="M100" s="6" t="n">
        <v>67.99</v>
      </c>
      <c r="N100" s="5" t="s">
        <v>77</v>
      </c>
    </row>
    <row r="101" customFormat="false" ht="15" hidden="false" customHeight="false" outlineLevel="0" collapsed="false">
      <c r="A101" s="4" t="n">
        <v>45979</v>
      </c>
      <c r="B101" s="5" t="s">
        <v>13</v>
      </c>
      <c r="C101" s="5" t="s">
        <v>14</v>
      </c>
      <c r="D101" s="5" t="s">
        <v>160</v>
      </c>
      <c r="E101" s="5" t="s">
        <v>202</v>
      </c>
      <c r="F101" s="5" t="s">
        <v>203</v>
      </c>
      <c r="G101" s="5" t="s">
        <v>78</v>
      </c>
      <c r="H101" s="14" t="n">
        <v>15.35</v>
      </c>
      <c r="I101" s="14" t="n">
        <v>15.35</v>
      </c>
      <c r="J101" s="0" t="n">
        <v>1</v>
      </c>
      <c r="L101" s="0" t="n">
        <v>1</v>
      </c>
      <c r="M101" s="6" t="n">
        <v>15.35</v>
      </c>
      <c r="N101" s="5" t="s">
        <v>77</v>
      </c>
    </row>
    <row r="102" customFormat="false" ht="15" hidden="false" customHeight="false" outlineLevel="0" collapsed="false">
      <c r="A102" s="4" t="n">
        <v>45979</v>
      </c>
      <c r="B102" s="5" t="s">
        <v>13</v>
      </c>
      <c r="C102" s="5" t="s">
        <v>14</v>
      </c>
      <c r="D102" s="5" t="s">
        <v>328</v>
      </c>
      <c r="E102" s="5" t="s">
        <v>197</v>
      </c>
      <c r="F102" s="5" t="s">
        <v>198</v>
      </c>
      <c r="G102" s="5" t="s">
        <v>78</v>
      </c>
      <c r="H102" s="14" t="n">
        <v>1.32</v>
      </c>
      <c r="I102" s="14" t="n">
        <v>1.32</v>
      </c>
      <c r="J102" s="0" t="n">
        <v>1</v>
      </c>
      <c r="L102" s="0" t="n">
        <v>7</v>
      </c>
      <c r="M102" s="6" t="n">
        <v>9.24</v>
      </c>
      <c r="N102" s="5" t="s">
        <v>115</v>
      </c>
    </row>
    <row r="103" customFormat="false" ht="15" hidden="false" customHeight="false" outlineLevel="0" collapsed="false">
      <c r="A103" s="4" t="n">
        <v>45979</v>
      </c>
      <c r="B103" s="5" t="s">
        <v>13</v>
      </c>
      <c r="C103" s="5" t="s">
        <v>14</v>
      </c>
      <c r="D103" s="5" t="s">
        <v>328</v>
      </c>
      <c r="E103" s="5" t="s">
        <v>172</v>
      </c>
      <c r="F103" s="5" t="s">
        <v>173</v>
      </c>
      <c r="G103" s="5" t="s">
        <v>78</v>
      </c>
      <c r="H103" s="14" t="n">
        <v>10.48</v>
      </c>
      <c r="I103" s="14" t="n">
        <v>10.48</v>
      </c>
      <c r="J103" s="0" t="n">
        <v>1</v>
      </c>
      <c r="L103" s="0" t="n">
        <v>5</v>
      </c>
      <c r="M103" s="6" t="n">
        <v>52.4</v>
      </c>
      <c r="N103" s="5" t="s">
        <v>115</v>
      </c>
    </row>
    <row r="104" customFormat="false" ht="15" hidden="false" customHeight="false" outlineLevel="0" collapsed="false">
      <c r="A104" s="4" t="n">
        <v>45979</v>
      </c>
      <c r="B104" s="5" t="s">
        <v>13</v>
      </c>
      <c r="C104" s="5" t="s">
        <v>14</v>
      </c>
      <c r="D104" s="5" t="s">
        <v>328</v>
      </c>
      <c r="E104" s="5" t="s">
        <v>331</v>
      </c>
      <c r="F104" s="5" t="s">
        <v>332</v>
      </c>
      <c r="G104" s="5" t="s">
        <v>78</v>
      </c>
      <c r="H104" s="14" t="n">
        <v>8.19</v>
      </c>
      <c r="I104" s="14" t="n">
        <v>8.19</v>
      </c>
      <c r="J104" s="0" t="n">
        <v>1</v>
      </c>
      <c r="L104" s="0" t="n">
        <v>3</v>
      </c>
      <c r="M104" s="6" t="n">
        <v>24.57</v>
      </c>
      <c r="N104" s="5" t="s">
        <v>115</v>
      </c>
    </row>
    <row r="105" customFormat="false" ht="15" hidden="false" customHeight="false" outlineLevel="0" collapsed="false">
      <c r="A105" s="4" t="n">
        <v>45979</v>
      </c>
      <c r="B105" s="5" t="s">
        <v>13</v>
      </c>
      <c r="C105" s="5" t="s">
        <v>14</v>
      </c>
      <c r="D105" s="5" t="s">
        <v>328</v>
      </c>
      <c r="E105" s="5" t="s">
        <v>215</v>
      </c>
      <c r="F105" s="5" t="s">
        <v>216</v>
      </c>
      <c r="G105" s="5" t="s">
        <v>78</v>
      </c>
      <c r="H105" s="14" t="n">
        <v>2.92</v>
      </c>
      <c r="I105" s="14" t="n">
        <v>2.92</v>
      </c>
      <c r="J105" s="0" t="n">
        <v>1</v>
      </c>
      <c r="L105" s="0" t="n">
        <v>3</v>
      </c>
      <c r="M105" s="6" t="n">
        <v>8.76</v>
      </c>
      <c r="N105" s="5" t="s">
        <v>115</v>
      </c>
    </row>
    <row r="106" customFormat="false" ht="15" hidden="false" customHeight="false" outlineLevel="0" collapsed="false">
      <c r="A106" s="4" t="n">
        <v>45979</v>
      </c>
      <c r="B106" s="5" t="s">
        <v>13</v>
      </c>
      <c r="C106" s="5" t="s">
        <v>14</v>
      </c>
      <c r="D106" s="5" t="s">
        <v>328</v>
      </c>
      <c r="E106" s="5" t="s">
        <v>167</v>
      </c>
      <c r="F106" s="5" t="s">
        <v>168</v>
      </c>
      <c r="G106" s="5" t="s">
        <v>78</v>
      </c>
      <c r="H106" s="14" t="n">
        <v>8.55</v>
      </c>
      <c r="I106" s="14" t="n">
        <v>8.55</v>
      </c>
      <c r="J106" s="0" t="n">
        <v>1</v>
      </c>
      <c r="L106" s="0" t="n">
        <v>1</v>
      </c>
      <c r="M106" s="6" t="n">
        <v>8.55</v>
      </c>
      <c r="N106" s="5" t="s">
        <v>115</v>
      </c>
    </row>
    <row r="107" customFormat="false" ht="15" hidden="false" customHeight="false" outlineLevel="0" collapsed="false">
      <c r="A107" s="4" t="n">
        <v>45979</v>
      </c>
      <c r="B107" s="5" t="s">
        <v>13</v>
      </c>
      <c r="C107" s="5" t="s">
        <v>14</v>
      </c>
      <c r="D107" s="5" t="s">
        <v>328</v>
      </c>
      <c r="E107" s="5" t="s">
        <v>206</v>
      </c>
      <c r="F107" s="5" t="s">
        <v>207</v>
      </c>
      <c r="G107" s="5" t="s">
        <v>78</v>
      </c>
      <c r="H107" s="14" t="n">
        <v>6.69</v>
      </c>
      <c r="I107" s="14" t="n">
        <v>6.69</v>
      </c>
      <c r="J107" s="0" t="n">
        <v>1</v>
      </c>
      <c r="L107" s="0" t="n">
        <v>1</v>
      </c>
      <c r="M107" s="6" t="n">
        <v>6.69</v>
      </c>
      <c r="N107" s="5" t="s">
        <v>115</v>
      </c>
    </row>
    <row r="108" customFormat="false" ht="15" hidden="false" customHeight="false" outlineLevel="0" collapsed="false">
      <c r="A108" s="4" t="n">
        <v>45986</v>
      </c>
      <c r="B108" s="5" t="s">
        <v>15</v>
      </c>
      <c r="C108" s="5" t="s">
        <v>16</v>
      </c>
      <c r="E108" s="5" t="s">
        <v>355</v>
      </c>
      <c r="F108" s="5" t="s">
        <v>356</v>
      </c>
      <c r="G108" s="5" t="s">
        <v>386</v>
      </c>
      <c r="H108" s="14" t="n">
        <v>0.145</v>
      </c>
      <c r="I108" s="14" t="n">
        <v>3.47</v>
      </c>
      <c r="J108" s="0" t="n">
        <v>24</v>
      </c>
      <c r="L108" s="0" t="n">
        <v>1</v>
      </c>
      <c r="M108" s="6" t="n">
        <v>3.47</v>
      </c>
      <c r="N108" s="5" t="s">
        <v>77</v>
      </c>
    </row>
    <row r="109" customFormat="false" ht="15" hidden="false" customHeight="false" outlineLevel="0" collapsed="false">
      <c r="A109" s="4" t="n">
        <v>45986</v>
      </c>
      <c r="B109" s="5" t="s">
        <v>15</v>
      </c>
      <c r="C109" s="5" t="s">
        <v>16</v>
      </c>
      <c r="D109" s="5" t="s">
        <v>98</v>
      </c>
      <c r="E109" s="5" t="s">
        <v>256</v>
      </c>
      <c r="F109" s="5" t="s">
        <v>257</v>
      </c>
      <c r="G109" s="5" t="s">
        <v>386</v>
      </c>
      <c r="H109" s="14" t="n">
        <v>2.942</v>
      </c>
      <c r="I109" s="14" t="n">
        <v>17.65</v>
      </c>
      <c r="J109" s="0" t="n">
        <v>6</v>
      </c>
      <c r="L109" s="0" t="n">
        <v>1</v>
      </c>
      <c r="M109" s="6" t="n">
        <v>17.65</v>
      </c>
      <c r="N109" s="5" t="s">
        <v>115</v>
      </c>
    </row>
    <row r="110" customFormat="false" ht="15" hidden="false" customHeight="false" outlineLevel="0" collapsed="false">
      <c r="A110" s="4" t="n">
        <v>45986</v>
      </c>
      <c r="B110" s="5" t="s">
        <v>15</v>
      </c>
      <c r="C110" s="5" t="s">
        <v>16</v>
      </c>
      <c r="D110" s="5" t="s">
        <v>98</v>
      </c>
      <c r="E110" s="5" t="s">
        <v>258</v>
      </c>
      <c r="F110" s="5" t="s">
        <v>259</v>
      </c>
      <c r="G110" s="5" t="s">
        <v>78</v>
      </c>
      <c r="H110" s="14" t="n">
        <v>9.66</v>
      </c>
      <c r="I110" s="14" t="n">
        <v>9.66</v>
      </c>
      <c r="J110" s="0" t="n">
        <v>1</v>
      </c>
      <c r="L110" s="0" t="n">
        <v>1</v>
      </c>
      <c r="M110" s="6" t="n">
        <v>9.66</v>
      </c>
      <c r="N110" s="5" t="s">
        <v>115</v>
      </c>
    </row>
    <row r="111" customFormat="false" ht="15" hidden="false" customHeight="false" outlineLevel="0" collapsed="false">
      <c r="A111" s="4" t="n">
        <v>45986</v>
      </c>
      <c r="B111" s="5" t="s">
        <v>15</v>
      </c>
      <c r="C111" s="5" t="s">
        <v>16</v>
      </c>
      <c r="D111" s="5" t="s">
        <v>98</v>
      </c>
      <c r="E111" s="5" t="s">
        <v>172</v>
      </c>
      <c r="F111" s="5" t="s">
        <v>173</v>
      </c>
      <c r="G111" s="5" t="s">
        <v>78</v>
      </c>
      <c r="H111" s="14" t="n">
        <v>10.48</v>
      </c>
      <c r="I111" s="14" t="n">
        <v>10.48</v>
      </c>
      <c r="J111" s="0" t="n">
        <v>1</v>
      </c>
      <c r="L111" s="0" t="n">
        <v>2</v>
      </c>
      <c r="M111" s="6" t="n">
        <v>20.96</v>
      </c>
      <c r="N111" s="5" t="s">
        <v>115</v>
      </c>
    </row>
    <row r="112" customFormat="false" ht="15" hidden="false" customHeight="false" outlineLevel="0" collapsed="false">
      <c r="A112" s="4" t="n">
        <v>45986</v>
      </c>
      <c r="B112" s="5" t="s">
        <v>15</v>
      </c>
      <c r="C112" s="5" t="s">
        <v>16</v>
      </c>
      <c r="D112" s="5" t="s">
        <v>98</v>
      </c>
      <c r="E112" s="5" t="s">
        <v>250</v>
      </c>
      <c r="F112" s="5" t="s">
        <v>251</v>
      </c>
      <c r="G112" s="5" t="s">
        <v>78</v>
      </c>
      <c r="H112" s="14" t="n">
        <v>7.34</v>
      </c>
      <c r="I112" s="14" t="n">
        <v>7.34</v>
      </c>
      <c r="J112" s="0" t="n">
        <v>1</v>
      </c>
      <c r="L112" s="0" t="n">
        <v>1</v>
      </c>
      <c r="M112" s="6" t="n">
        <v>7.34</v>
      </c>
      <c r="N112" s="5" t="s">
        <v>115</v>
      </c>
    </row>
    <row r="113" customFormat="false" ht="15" hidden="false" customHeight="false" outlineLevel="0" collapsed="false">
      <c r="A113" s="4" t="n">
        <v>45986</v>
      </c>
      <c r="B113" s="5" t="s">
        <v>15</v>
      </c>
      <c r="C113" s="5" t="s">
        <v>16</v>
      </c>
      <c r="D113" s="5" t="s">
        <v>98</v>
      </c>
      <c r="E113" s="5" t="s">
        <v>248</v>
      </c>
      <c r="F113" s="5" t="s">
        <v>249</v>
      </c>
      <c r="G113" s="5" t="s">
        <v>78</v>
      </c>
      <c r="H113" s="14" t="n">
        <v>8.84</v>
      </c>
      <c r="I113" s="14" t="n">
        <v>8.84</v>
      </c>
      <c r="J113" s="0" t="n">
        <v>1</v>
      </c>
      <c r="L113" s="0" t="n">
        <v>1</v>
      </c>
      <c r="M113" s="6" t="n">
        <v>8.84</v>
      </c>
      <c r="N113" s="5" t="s">
        <v>115</v>
      </c>
    </row>
    <row r="114" customFormat="false" ht="15" hidden="false" customHeight="false" outlineLevel="0" collapsed="false">
      <c r="A114" s="4" t="n">
        <v>45986</v>
      </c>
      <c r="B114" s="5" t="s">
        <v>15</v>
      </c>
      <c r="C114" s="5" t="s">
        <v>16</v>
      </c>
      <c r="D114" s="5" t="s">
        <v>98</v>
      </c>
      <c r="E114" s="5" t="s">
        <v>246</v>
      </c>
      <c r="F114" s="5" t="s">
        <v>247</v>
      </c>
      <c r="G114" s="5" t="s">
        <v>78</v>
      </c>
      <c r="H114" s="14" t="n">
        <v>8.84</v>
      </c>
      <c r="I114" s="14" t="n">
        <v>8.84</v>
      </c>
      <c r="J114" s="0" t="n">
        <v>1</v>
      </c>
      <c r="L114" s="0" t="n">
        <v>1</v>
      </c>
      <c r="M114" s="6" t="n">
        <v>8.84</v>
      </c>
      <c r="N114" s="5" t="s">
        <v>115</v>
      </c>
    </row>
    <row r="115" customFormat="false" ht="15" hidden="false" customHeight="false" outlineLevel="0" collapsed="false">
      <c r="A115" s="4" t="n">
        <v>45986</v>
      </c>
      <c r="B115" s="5" t="s">
        <v>15</v>
      </c>
      <c r="C115" s="5" t="s">
        <v>16</v>
      </c>
      <c r="D115" s="5" t="s">
        <v>98</v>
      </c>
      <c r="E115" s="5" t="s">
        <v>218</v>
      </c>
      <c r="F115" s="5" t="s">
        <v>219</v>
      </c>
      <c r="G115" s="5" t="s">
        <v>78</v>
      </c>
      <c r="H115" s="14" t="n">
        <v>7.21</v>
      </c>
      <c r="I115" s="14" t="n">
        <v>7.21</v>
      </c>
      <c r="J115" s="0" t="n">
        <v>1</v>
      </c>
      <c r="L115" s="0" t="n">
        <v>4</v>
      </c>
      <c r="M115" s="6" t="n">
        <v>28.84</v>
      </c>
      <c r="N115" s="5" t="s">
        <v>115</v>
      </c>
    </row>
    <row r="116" customFormat="false" ht="15" hidden="false" customHeight="false" outlineLevel="0" collapsed="false">
      <c r="A116" s="4" t="n">
        <v>45986</v>
      </c>
      <c r="B116" s="5" t="s">
        <v>15</v>
      </c>
      <c r="C116" s="5" t="s">
        <v>16</v>
      </c>
      <c r="D116" s="5" t="s">
        <v>98</v>
      </c>
      <c r="E116" s="5" t="s">
        <v>252</v>
      </c>
      <c r="F116" s="5" t="s">
        <v>253</v>
      </c>
      <c r="G116" s="5" t="s">
        <v>78</v>
      </c>
      <c r="H116" s="14" t="n">
        <v>2.57</v>
      </c>
      <c r="I116" s="14" t="n">
        <v>2.57</v>
      </c>
      <c r="J116" s="0" t="n">
        <v>1</v>
      </c>
      <c r="L116" s="0" t="n">
        <v>2</v>
      </c>
      <c r="M116" s="6" t="n">
        <v>5.14</v>
      </c>
      <c r="N116" s="5" t="s">
        <v>115</v>
      </c>
    </row>
    <row r="117" customFormat="false" ht="15" hidden="false" customHeight="false" outlineLevel="0" collapsed="false">
      <c r="A117" s="4" t="n">
        <v>45986</v>
      </c>
      <c r="B117" s="5" t="s">
        <v>15</v>
      </c>
      <c r="C117" s="5" t="s">
        <v>16</v>
      </c>
      <c r="D117" s="5" t="s">
        <v>98</v>
      </c>
      <c r="E117" s="5" t="s">
        <v>244</v>
      </c>
      <c r="F117" s="5" t="s">
        <v>245</v>
      </c>
      <c r="G117" s="5" t="s">
        <v>78</v>
      </c>
      <c r="H117" s="14" t="n">
        <v>2.32</v>
      </c>
      <c r="I117" s="14" t="n">
        <v>2.32</v>
      </c>
      <c r="J117" s="0" t="n">
        <v>1</v>
      </c>
      <c r="L117" s="0" t="n">
        <v>2</v>
      </c>
      <c r="M117" s="6" t="n">
        <v>4.64</v>
      </c>
      <c r="N117" s="5" t="s">
        <v>115</v>
      </c>
    </row>
    <row r="118" customFormat="false" ht="15" hidden="false" customHeight="false" outlineLevel="0" collapsed="false">
      <c r="A118" s="4" t="n">
        <v>45986</v>
      </c>
      <c r="B118" s="5" t="s">
        <v>15</v>
      </c>
      <c r="C118" s="5" t="s">
        <v>16</v>
      </c>
      <c r="D118" s="5" t="s">
        <v>98</v>
      </c>
      <c r="E118" s="5" t="s">
        <v>167</v>
      </c>
      <c r="F118" s="5" t="s">
        <v>168</v>
      </c>
      <c r="G118" s="5" t="s">
        <v>78</v>
      </c>
      <c r="H118" s="14" t="n">
        <v>8.55</v>
      </c>
      <c r="I118" s="14" t="n">
        <v>8.55</v>
      </c>
      <c r="J118" s="0" t="n">
        <v>1</v>
      </c>
      <c r="L118" s="0" t="n">
        <v>1</v>
      </c>
      <c r="M118" s="6" t="n">
        <v>8.55</v>
      </c>
      <c r="N118" s="5" t="s">
        <v>115</v>
      </c>
    </row>
    <row r="119" customFormat="false" ht="15" hidden="false" customHeight="false" outlineLevel="0" collapsed="false">
      <c r="A119" s="4" t="n">
        <v>45986</v>
      </c>
      <c r="B119" s="5" t="s">
        <v>15</v>
      </c>
      <c r="C119" s="5" t="s">
        <v>16</v>
      </c>
      <c r="D119" s="5" t="s">
        <v>98</v>
      </c>
      <c r="E119" s="5" t="s">
        <v>206</v>
      </c>
      <c r="F119" s="5" t="s">
        <v>207</v>
      </c>
      <c r="G119" s="5" t="s">
        <v>78</v>
      </c>
      <c r="H119" s="14" t="n">
        <v>6.69</v>
      </c>
      <c r="I119" s="14" t="n">
        <v>6.69</v>
      </c>
      <c r="J119" s="0" t="n">
        <v>1</v>
      </c>
      <c r="L119" s="0" t="n">
        <v>1</v>
      </c>
      <c r="M119" s="6" t="n">
        <v>6.69</v>
      </c>
      <c r="N119" s="5" t="s">
        <v>115</v>
      </c>
    </row>
    <row r="120" customFormat="false" ht="15" hidden="false" customHeight="false" outlineLevel="0" collapsed="false">
      <c r="A120" s="4" t="n">
        <v>45986</v>
      </c>
      <c r="B120" s="5" t="s">
        <v>15</v>
      </c>
      <c r="C120" s="5" t="s">
        <v>16</v>
      </c>
      <c r="D120" s="5" t="s">
        <v>98</v>
      </c>
      <c r="E120" s="5" t="s">
        <v>270</v>
      </c>
      <c r="F120" s="5" t="s">
        <v>271</v>
      </c>
      <c r="G120" s="5" t="s">
        <v>78</v>
      </c>
      <c r="H120" s="14" t="n">
        <v>3.13</v>
      </c>
      <c r="I120" s="14" t="n">
        <v>3.13</v>
      </c>
      <c r="J120" s="0" t="n">
        <v>1</v>
      </c>
      <c r="L120" s="0" t="n">
        <v>1</v>
      </c>
      <c r="M120" s="6" t="n">
        <v>3.13</v>
      </c>
      <c r="N120" s="5" t="s">
        <v>115</v>
      </c>
    </row>
    <row r="121" customFormat="false" ht="15" hidden="false" customHeight="false" outlineLevel="0" collapsed="false">
      <c r="A121" s="21" t="n">
        <v>45986</v>
      </c>
      <c r="B121" s="22" t="s">
        <v>17</v>
      </c>
      <c r="C121" s="22" t="s">
        <v>16</v>
      </c>
      <c r="D121" s="22"/>
      <c r="E121" s="22" t="s">
        <v>88</v>
      </c>
      <c r="F121" s="22" t="s">
        <v>89</v>
      </c>
      <c r="G121" s="22" t="s">
        <v>386</v>
      </c>
      <c r="H121" s="16" t="n">
        <v>1.063</v>
      </c>
      <c r="I121" s="16" t="n">
        <v>12.75</v>
      </c>
      <c r="J121" s="22" t="n">
        <v>12</v>
      </c>
      <c r="K121" s="22"/>
      <c r="L121" s="22" t="n">
        <v>5</v>
      </c>
      <c r="M121" s="23" t="n">
        <v>63.75</v>
      </c>
      <c r="N121" s="22" t="s">
        <v>77</v>
      </c>
      <c r="O121" s="22" t="s">
        <v>387</v>
      </c>
    </row>
    <row r="122" customFormat="false" ht="15" hidden="false" customHeight="false" outlineLevel="0" collapsed="false">
      <c r="A122" s="4" t="n">
        <v>45986</v>
      </c>
      <c r="B122" s="5" t="s">
        <v>17</v>
      </c>
      <c r="C122" s="5" t="s">
        <v>16</v>
      </c>
      <c r="E122" s="5" t="s">
        <v>369</v>
      </c>
      <c r="F122" s="5" t="s">
        <v>370</v>
      </c>
      <c r="G122" s="5" t="s">
        <v>78</v>
      </c>
      <c r="H122" s="14" t="n">
        <v>7.74</v>
      </c>
      <c r="I122" s="14" t="n">
        <v>7.74</v>
      </c>
      <c r="J122" s="0" t="n">
        <v>1</v>
      </c>
      <c r="L122" s="0" t="n">
        <v>1</v>
      </c>
      <c r="M122" s="6" t="n">
        <v>7.74</v>
      </c>
      <c r="N122" s="5" t="s">
        <v>77</v>
      </c>
    </row>
    <row r="123" customFormat="false" ht="15" hidden="false" customHeight="false" outlineLevel="0" collapsed="false">
      <c r="A123" s="4" t="n">
        <v>45995</v>
      </c>
      <c r="B123" s="5" t="s">
        <v>18</v>
      </c>
      <c r="C123" s="5" t="s">
        <v>14</v>
      </c>
      <c r="E123" s="5" t="s">
        <v>340</v>
      </c>
      <c r="F123" s="5" t="s">
        <v>341</v>
      </c>
      <c r="G123" s="5" t="s">
        <v>386</v>
      </c>
      <c r="H123" s="14" t="n">
        <v>1.197</v>
      </c>
      <c r="I123" s="14" t="n">
        <v>23.93</v>
      </c>
      <c r="J123" s="0" t="n">
        <v>20</v>
      </c>
      <c r="L123" s="0" t="n">
        <v>1</v>
      </c>
      <c r="M123" s="6" t="n">
        <v>23.93</v>
      </c>
      <c r="N123" s="5" t="s">
        <v>115</v>
      </c>
    </row>
    <row r="124" customFormat="false" ht="15" hidden="false" customHeight="false" outlineLevel="0" collapsed="false">
      <c r="A124" s="21" t="n">
        <v>46000</v>
      </c>
      <c r="B124" s="22" t="s">
        <v>19</v>
      </c>
      <c r="C124" s="22" t="s">
        <v>16</v>
      </c>
      <c r="D124" s="22"/>
      <c r="E124" s="22" t="s">
        <v>148</v>
      </c>
      <c r="F124" s="22" t="s">
        <v>149</v>
      </c>
      <c r="G124" s="22" t="s">
        <v>386</v>
      </c>
      <c r="H124" s="16" t="n">
        <v>0.422</v>
      </c>
      <c r="I124" s="16" t="n">
        <v>10.13</v>
      </c>
      <c r="J124" s="22" t="n">
        <v>24</v>
      </c>
      <c r="K124" s="22"/>
      <c r="L124" s="22" t="n">
        <v>1</v>
      </c>
      <c r="M124" s="23" t="n">
        <v>10.13</v>
      </c>
      <c r="N124" s="22" t="s">
        <v>77</v>
      </c>
      <c r="O124" s="22" t="s">
        <v>387</v>
      </c>
    </row>
    <row r="125" customFormat="false" ht="15" hidden="false" customHeight="false" outlineLevel="0" collapsed="false">
      <c r="A125" s="21" t="n">
        <v>46000</v>
      </c>
      <c r="B125" s="22" t="s">
        <v>19</v>
      </c>
      <c r="C125" s="22" t="s">
        <v>16</v>
      </c>
      <c r="D125" s="22"/>
      <c r="E125" s="22" t="s">
        <v>148</v>
      </c>
      <c r="F125" s="22" t="s">
        <v>149</v>
      </c>
      <c r="G125" s="22" t="s">
        <v>386</v>
      </c>
      <c r="H125" s="16" t="n">
        <v>0.422</v>
      </c>
      <c r="I125" s="16" t="n">
        <v>10.13</v>
      </c>
      <c r="J125" s="22" t="n">
        <v>24</v>
      </c>
      <c r="K125" s="22"/>
      <c r="L125" s="22" t="n">
        <v>1</v>
      </c>
      <c r="M125" s="23" t="n">
        <v>10.13</v>
      </c>
      <c r="N125" s="22" t="s">
        <v>77</v>
      </c>
      <c r="O125" s="22" t="s">
        <v>387</v>
      </c>
    </row>
    <row r="126" customFormat="false" ht="15" hidden="false" customHeight="false" outlineLevel="0" collapsed="false">
      <c r="A126" s="21" t="n">
        <v>46000</v>
      </c>
      <c r="B126" s="22" t="s">
        <v>19</v>
      </c>
      <c r="C126" s="22" t="s">
        <v>16</v>
      </c>
      <c r="D126" s="22"/>
      <c r="E126" s="22" t="s">
        <v>148</v>
      </c>
      <c r="F126" s="22" t="s">
        <v>149</v>
      </c>
      <c r="G126" s="22" t="s">
        <v>386</v>
      </c>
      <c r="H126" s="16" t="n">
        <v>0.422</v>
      </c>
      <c r="I126" s="16" t="n">
        <v>10.13</v>
      </c>
      <c r="J126" s="22" t="n">
        <v>24</v>
      </c>
      <c r="K126" s="22"/>
      <c r="L126" s="22" t="n">
        <v>1</v>
      </c>
      <c r="M126" s="23" t="n">
        <v>10.13</v>
      </c>
      <c r="N126" s="22" t="s">
        <v>77</v>
      </c>
      <c r="O126" s="22" t="s">
        <v>387</v>
      </c>
    </row>
    <row r="127" customFormat="false" ht="15" hidden="false" customHeight="false" outlineLevel="0" collapsed="false">
      <c r="A127" s="4" t="n">
        <v>46000</v>
      </c>
      <c r="B127" s="5" t="s">
        <v>19</v>
      </c>
      <c r="C127" s="5" t="s">
        <v>16</v>
      </c>
      <c r="E127" s="5" t="s">
        <v>84</v>
      </c>
      <c r="F127" s="5" t="s">
        <v>85</v>
      </c>
      <c r="G127" s="5" t="s">
        <v>386</v>
      </c>
      <c r="H127" s="14" t="n">
        <v>1.403</v>
      </c>
      <c r="I127" s="14" t="n">
        <v>16.83</v>
      </c>
      <c r="J127" s="0" t="n">
        <v>12</v>
      </c>
      <c r="L127" s="0" t="n">
        <v>2</v>
      </c>
      <c r="M127" s="6" t="n">
        <v>33.66</v>
      </c>
      <c r="N127" s="5" t="s">
        <v>77</v>
      </c>
    </row>
    <row r="128" customFormat="false" ht="15" hidden="false" customHeight="false" outlineLevel="0" collapsed="false">
      <c r="A128" s="4" t="n">
        <v>46000</v>
      </c>
      <c r="B128" s="5" t="s">
        <v>19</v>
      </c>
      <c r="C128" s="5" t="s">
        <v>16</v>
      </c>
      <c r="E128" s="5" t="s">
        <v>86</v>
      </c>
      <c r="F128" s="5" t="s">
        <v>87</v>
      </c>
      <c r="G128" s="5" t="s">
        <v>386</v>
      </c>
      <c r="H128" s="14" t="n">
        <v>1.403</v>
      </c>
      <c r="I128" s="14" t="n">
        <v>16.83</v>
      </c>
      <c r="J128" s="0" t="n">
        <v>12</v>
      </c>
      <c r="L128" s="0" t="n">
        <v>2</v>
      </c>
      <c r="M128" s="6" t="n">
        <v>33.66</v>
      </c>
      <c r="N128" s="5" t="s">
        <v>77</v>
      </c>
    </row>
    <row r="129" customFormat="false" ht="15" hidden="false" customHeight="false" outlineLevel="0" collapsed="false">
      <c r="A129" s="4" t="n">
        <v>46000</v>
      </c>
      <c r="B129" s="5" t="s">
        <v>19</v>
      </c>
      <c r="C129" s="5" t="s">
        <v>16</v>
      </c>
      <c r="E129" s="5" t="s">
        <v>88</v>
      </c>
      <c r="F129" s="5" t="s">
        <v>89</v>
      </c>
      <c r="G129" s="5" t="s">
        <v>386</v>
      </c>
      <c r="H129" s="14" t="n">
        <v>1.275</v>
      </c>
      <c r="I129" s="14" t="n">
        <v>15.3</v>
      </c>
      <c r="J129" s="0" t="n">
        <v>12</v>
      </c>
      <c r="L129" s="0" t="n">
        <v>1</v>
      </c>
      <c r="M129" s="6" t="n">
        <v>15.3</v>
      </c>
      <c r="N129" s="5" t="s">
        <v>77</v>
      </c>
    </row>
    <row r="130" customFormat="false" ht="15" hidden="false" customHeight="false" outlineLevel="0" collapsed="false">
      <c r="A130" s="4" t="n">
        <v>46000</v>
      </c>
      <c r="B130" s="5" t="s">
        <v>19</v>
      </c>
      <c r="C130" s="5" t="s">
        <v>16</v>
      </c>
      <c r="E130" s="5" t="s">
        <v>88</v>
      </c>
      <c r="F130" s="5" t="s">
        <v>89</v>
      </c>
      <c r="G130" s="5" t="s">
        <v>386</v>
      </c>
      <c r="H130" s="14" t="n">
        <v>1.275</v>
      </c>
      <c r="I130" s="14" t="n">
        <v>15.3</v>
      </c>
      <c r="J130" s="0" t="n">
        <v>12</v>
      </c>
      <c r="L130" s="0" t="n">
        <v>2</v>
      </c>
      <c r="M130" s="6" t="n">
        <v>30.6</v>
      </c>
      <c r="N130" s="5" t="s">
        <v>77</v>
      </c>
    </row>
    <row r="131" customFormat="false" ht="15" hidden="false" customHeight="false" outlineLevel="0" collapsed="false">
      <c r="A131" s="4" t="n">
        <v>46000</v>
      </c>
      <c r="B131" s="5" t="s">
        <v>19</v>
      </c>
      <c r="C131" s="5" t="s">
        <v>16</v>
      </c>
      <c r="E131" s="5" t="s">
        <v>90</v>
      </c>
      <c r="F131" s="5" t="s">
        <v>91</v>
      </c>
      <c r="G131" s="5" t="s">
        <v>386</v>
      </c>
      <c r="H131" s="14" t="n">
        <v>0.611</v>
      </c>
      <c r="I131" s="14" t="n">
        <v>14.67</v>
      </c>
      <c r="J131" s="0" t="n">
        <v>24</v>
      </c>
      <c r="L131" s="0" t="n">
        <v>1</v>
      </c>
      <c r="M131" s="6" t="n">
        <v>14.67</v>
      </c>
      <c r="N131" s="5" t="s">
        <v>77</v>
      </c>
    </row>
    <row r="132" customFormat="false" ht="15" hidden="false" customHeight="false" outlineLevel="0" collapsed="false">
      <c r="A132" s="4" t="n">
        <v>46000</v>
      </c>
      <c r="B132" s="5" t="s">
        <v>19</v>
      </c>
      <c r="C132" s="5" t="s">
        <v>16</v>
      </c>
      <c r="E132" s="5" t="s">
        <v>134</v>
      </c>
      <c r="F132" s="5" t="s">
        <v>135</v>
      </c>
      <c r="G132" s="5" t="s">
        <v>386</v>
      </c>
      <c r="H132" s="14" t="n">
        <v>0.638</v>
      </c>
      <c r="I132" s="14" t="n">
        <v>15.31</v>
      </c>
      <c r="J132" s="0" t="n">
        <v>24</v>
      </c>
      <c r="L132" s="0" t="n">
        <v>3</v>
      </c>
      <c r="M132" s="6" t="n">
        <v>45.93</v>
      </c>
      <c r="N132" s="5" t="s">
        <v>77</v>
      </c>
    </row>
    <row r="133" customFormat="false" ht="15" hidden="false" customHeight="false" outlineLevel="0" collapsed="false">
      <c r="A133" s="4" t="n">
        <v>46000</v>
      </c>
      <c r="B133" s="5" t="s">
        <v>19</v>
      </c>
      <c r="C133" s="5" t="s">
        <v>16</v>
      </c>
      <c r="E133" s="5" t="s">
        <v>79</v>
      </c>
      <c r="F133" s="5" t="s">
        <v>80</v>
      </c>
      <c r="G133" s="5" t="s">
        <v>386</v>
      </c>
      <c r="H133" s="14" t="n">
        <v>0.531</v>
      </c>
      <c r="I133" s="14" t="n">
        <v>12.75</v>
      </c>
      <c r="J133" s="0" t="n">
        <v>24</v>
      </c>
      <c r="L133" s="0" t="n">
        <v>1</v>
      </c>
      <c r="M133" s="6" t="n">
        <v>12.75</v>
      </c>
      <c r="N133" s="5" t="s">
        <v>77</v>
      </c>
    </row>
    <row r="134" customFormat="false" ht="15" hidden="false" customHeight="false" outlineLevel="0" collapsed="false">
      <c r="A134" s="4" t="n">
        <v>46000</v>
      </c>
      <c r="B134" s="5" t="s">
        <v>19</v>
      </c>
      <c r="C134" s="5" t="s">
        <v>16</v>
      </c>
      <c r="E134" s="5" t="s">
        <v>136</v>
      </c>
      <c r="F134" s="5" t="s">
        <v>137</v>
      </c>
      <c r="G134" s="5" t="s">
        <v>386</v>
      </c>
      <c r="H134" s="14" t="n">
        <v>0.69</v>
      </c>
      <c r="I134" s="14" t="n">
        <v>16.55</v>
      </c>
      <c r="J134" s="0" t="n">
        <v>24</v>
      </c>
      <c r="L134" s="0" t="n">
        <v>2</v>
      </c>
      <c r="M134" s="6" t="n">
        <v>33.1</v>
      </c>
      <c r="N134" s="5" t="s">
        <v>77</v>
      </c>
    </row>
    <row r="135" customFormat="false" ht="15" hidden="false" customHeight="false" outlineLevel="0" collapsed="false">
      <c r="A135" s="4" t="n">
        <v>46000</v>
      </c>
      <c r="B135" s="5" t="s">
        <v>19</v>
      </c>
      <c r="C135" s="5" t="s">
        <v>16</v>
      </c>
      <c r="D135" s="5" t="s">
        <v>98</v>
      </c>
      <c r="E135" s="5" t="s">
        <v>242</v>
      </c>
      <c r="F135" s="5" t="s">
        <v>243</v>
      </c>
      <c r="G135" s="5" t="s">
        <v>78</v>
      </c>
      <c r="H135" s="14" t="n">
        <v>7.5</v>
      </c>
      <c r="I135" s="14" t="n">
        <v>7.5</v>
      </c>
      <c r="J135" s="0" t="n">
        <v>1</v>
      </c>
      <c r="L135" s="0" t="n">
        <v>1</v>
      </c>
      <c r="M135" s="6" t="n">
        <v>7.5</v>
      </c>
      <c r="N135" s="5" t="s">
        <v>115</v>
      </c>
    </row>
    <row r="136" customFormat="false" ht="15" hidden="false" customHeight="false" outlineLevel="0" collapsed="false">
      <c r="A136" s="21" t="n">
        <v>46000</v>
      </c>
      <c r="B136" s="22" t="s">
        <v>19</v>
      </c>
      <c r="C136" s="22" t="s">
        <v>16</v>
      </c>
      <c r="D136" s="22" t="s">
        <v>98</v>
      </c>
      <c r="E136" s="22" t="s">
        <v>174</v>
      </c>
      <c r="F136" s="22" t="s">
        <v>175</v>
      </c>
      <c r="G136" s="22" t="s">
        <v>386</v>
      </c>
      <c r="H136" s="16" t="n">
        <v>0.714</v>
      </c>
      <c r="I136" s="16" t="n">
        <v>17.14</v>
      </c>
      <c r="J136" s="22" t="n">
        <v>24</v>
      </c>
      <c r="K136" s="22"/>
      <c r="L136" s="22" t="n">
        <v>2</v>
      </c>
      <c r="M136" s="23" t="n">
        <v>34.28</v>
      </c>
      <c r="N136" s="22" t="s">
        <v>115</v>
      </c>
      <c r="O136" s="22" t="s">
        <v>387</v>
      </c>
    </row>
    <row r="137" customFormat="false" ht="15" hidden="false" customHeight="false" outlineLevel="0" collapsed="false">
      <c r="A137" s="4" t="n">
        <v>46000</v>
      </c>
      <c r="B137" s="5" t="s">
        <v>19</v>
      </c>
      <c r="C137" s="5" t="s">
        <v>16</v>
      </c>
      <c r="D137" s="5" t="s">
        <v>98</v>
      </c>
      <c r="E137" s="5" t="s">
        <v>126</v>
      </c>
      <c r="F137" s="5" t="s">
        <v>127</v>
      </c>
      <c r="G137" s="5" t="s">
        <v>386</v>
      </c>
      <c r="H137" s="14" t="n">
        <v>0.521</v>
      </c>
      <c r="I137" s="14" t="n">
        <v>16.68</v>
      </c>
      <c r="J137" s="0" t="n">
        <v>32</v>
      </c>
      <c r="L137" s="0" t="n">
        <v>2</v>
      </c>
      <c r="M137" s="6" t="n">
        <v>33.36</v>
      </c>
      <c r="N137" s="5" t="s">
        <v>77</v>
      </c>
    </row>
    <row r="138" customFormat="false" ht="15" hidden="false" customHeight="false" outlineLevel="0" collapsed="false">
      <c r="A138" s="4" t="n">
        <v>46000</v>
      </c>
      <c r="B138" s="5" t="s">
        <v>19</v>
      </c>
      <c r="C138" s="5" t="s">
        <v>16</v>
      </c>
      <c r="D138" s="5" t="s">
        <v>98</v>
      </c>
      <c r="E138" s="5" t="s">
        <v>163</v>
      </c>
      <c r="F138" s="5" t="s">
        <v>164</v>
      </c>
      <c r="G138" s="5" t="s">
        <v>386</v>
      </c>
      <c r="H138" s="14" t="n">
        <v>0.531</v>
      </c>
      <c r="I138" s="14" t="n">
        <v>21.22</v>
      </c>
      <c r="J138" s="0" t="n">
        <v>40</v>
      </c>
      <c r="L138" s="0" t="n">
        <v>1</v>
      </c>
      <c r="M138" s="6" t="n">
        <v>21.22</v>
      </c>
      <c r="N138" s="5" t="s">
        <v>115</v>
      </c>
    </row>
    <row r="139" customFormat="false" ht="15" hidden="false" customHeight="false" outlineLevel="0" collapsed="false">
      <c r="A139" s="4" t="n">
        <v>46000</v>
      </c>
      <c r="B139" s="5" t="s">
        <v>19</v>
      </c>
      <c r="C139" s="5" t="s">
        <v>16</v>
      </c>
      <c r="D139" s="5" t="s">
        <v>98</v>
      </c>
      <c r="E139" s="5" t="s">
        <v>116</v>
      </c>
      <c r="F139" s="5" t="s">
        <v>117</v>
      </c>
      <c r="G139" s="5" t="s">
        <v>386</v>
      </c>
      <c r="H139" s="14" t="n">
        <v>1.496</v>
      </c>
      <c r="I139" s="14" t="n">
        <v>13.46</v>
      </c>
      <c r="J139" s="0" t="n">
        <v>9</v>
      </c>
      <c r="L139" s="0" t="n">
        <v>6</v>
      </c>
      <c r="M139" s="6" t="n">
        <v>80.76</v>
      </c>
      <c r="N139" s="5" t="s">
        <v>77</v>
      </c>
    </row>
    <row r="140" customFormat="false" ht="15" hidden="false" customHeight="false" outlineLevel="0" collapsed="false">
      <c r="A140" s="21" t="n">
        <v>46000</v>
      </c>
      <c r="B140" s="22" t="s">
        <v>19</v>
      </c>
      <c r="C140" s="22" t="s">
        <v>16</v>
      </c>
      <c r="D140" s="22" t="s">
        <v>98</v>
      </c>
      <c r="E140" s="22" t="s">
        <v>124</v>
      </c>
      <c r="F140" s="22" t="s">
        <v>125</v>
      </c>
      <c r="G140" s="22" t="s">
        <v>386</v>
      </c>
      <c r="H140" s="16" t="n">
        <v>0.401</v>
      </c>
      <c r="I140" s="16" t="n">
        <v>8.02</v>
      </c>
      <c r="J140" s="22" t="n">
        <v>20</v>
      </c>
      <c r="K140" s="22"/>
      <c r="L140" s="22" t="n">
        <v>3</v>
      </c>
      <c r="M140" s="23" t="n">
        <v>24.06</v>
      </c>
      <c r="N140" s="22" t="s">
        <v>77</v>
      </c>
      <c r="O140" s="22" t="s">
        <v>387</v>
      </c>
    </row>
    <row r="141" customFormat="false" ht="15" hidden="false" customHeight="false" outlineLevel="0" collapsed="false">
      <c r="A141" s="21" t="n">
        <v>46000</v>
      </c>
      <c r="B141" s="22" t="s">
        <v>19</v>
      </c>
      <c r="C141" s="22" t="s">
        <v>16</v>
      </c>
      <c r="D141" s="22" t="s">
        <v>98</v>
      </c>
      <c r="E141" s="22" t="s">
        <v>122</v>
      </c>
      <c r="F141" s="22" t="s">
        <v>123</v>
      </c>
      <c r="G141" s="22" t="s">
        <v>386</v>
      </c>
      <c r="H141" s="16" t="n">
        <v>1.867</v>
      </c>
      <c r="I141" s="16" t="n">
        <v>11.2</v>
      </c>
      <c r="J141" s="22" t="n">
        <v>6</v>
      </c>
      <c r="K141" s="22"/>
      <c r="L141" s="22" t="n">
        <v>5</v>
      </c>
      <c r="M141" s="23" t="n">
        <v>56</v>
      </c>
      <c r="N141" s="22" t="s">
        <v>77</v>
      </c>
      <c r="O141" s="22" t="s">
        <v>387</v>
      </c>
    </row>
    <row r="142" customFormat="false" ht="15" hidden="false" customHeight="false" outlineLevel="0" collapsed="false">
      <c r="A142" s="4" t="n">
        <v>46000</v>
      </c>
      <c r="B142" s="5" t="s">
        <v>19</v>
      </c>
      <c r="C142" s="5" t="s">
        <v>16</v>
      </c>
      <c r="D142" s="5" t="s">
        <v>98</v>
      </c>
      <c r="E142" s="5" t="s">
        <v>128</v>
      </c>
      <c r="F142" s="5" t="s">
        <v>129</v>
      </c>
      <c r="G142" s="5" t="s">
        <v>78</v>
      </c>
      <c r="H142" s="14" t="n">
        <v>15.19</v>
      </c>
      <c r="I142" s="14" t="n">
        <v>15.19</v>
      </c>
      <c r="J142" s="0" t="n">
        <v>1</v>
      </c>
      <c r="L142" s="0" t="n">
        <v>1</v>
      </c>
      <c r="M142" s="6" t="n">
        <v>15.19</v>
      </c>
      <c r="N142" s="5" t="s">
        <v>115</v>
      </c>
    </row>
    <row r="143" customFormat="false" ht="15" hidden="false" customHeight="false" outlineLevel="0" collapsed="false">
      <c r="A143" s="4" t="n">
        <v>46000</v>
      </c>
      <c r="B143" s="5" t="s">
        <v>19</v>
      </c>
      <c r="C143" s="5" t="s">
        <v>16</v>
      </c>
      <c r="D143" s="5" t="s">
        <v>81</v>
      </c>
      <c r="E143" s="5" t="s">
        <v>189</v>
      </c>
      <c r="F143" s="5" t="s">
        <v>190</v>
      </c>
      <c r="G143" s="5" t="s">
        <v>78</v>
      </c>
      <c r="H143" s="14" t="n">
        <v>2.65</v>
      </c>
      <c r="I143" s="14" t="n">
        <v>2.65</v>
      </c>
      <c r="J143" s="0" t="n">
        <v>1</v>
      </c>
      <c r="L143" s="0" t="n">
        <v>8</v>
      </c>
      <c r="M143" s="6" t="n">
        <v>21.2</v>
      </c>
      <c r="N143" s="5" t="s">
        <v>77</v>
      </c>
    </row>
    <row r="144" customFormat="false" ht="15" hidden="false" customHeight="false" outlineLevel="0" collapsed="false">
      <c r="A144" s="4" t="n">
        <v>46000</v>
      </c>
      <c r="B144" s="5" t="s">
        <v>19</v>
      </c>
      <c r="C144" s="5" t="s">
        <v>16</v>
      </c>
      <c r="D144" s="5" t="s">
        <v>81</v>
      </c>
      <c r="E144" s="5" t="s">
        <v>186</v>
      </c>
      <c r="F144" s="5" t="s">
        <v>187</v>
      </c>
      <c r="G144" s="5" t="s">
        <v>386</v>
      </c>
      <c r="H144" s="14" t="n">
        <v>0.872</v>
      </c>
      <c r="I144" s="14" t="n">
        <v>5.23</v>
      </c>
      <c r="J144" s="0" t="n">
        <v>6</v>
      </c>
      <c r="L144" s="0" t="n">
        <v>14</v>
      </c>
      <c r="M144" s="6" t="n">
        <v>73.22</v>
      </c>
      <c r="N144" s="5" t="s">
        <v>77</v>
      </c>
    </row>
    <row r="145" customFormat="false" ht="15" hidden="false" customHeight="false" outlineLevel="0" collapsed="false">
      <c r="A145" s="4" t="n">
        <v>46000</v>
      </c>
      <c r="B145" s="5" t="s">
        <v>19</v>
      </c>
      <c r="C145" s="5" t="s">
        <v>16</v>
      </c>
      <c r="D145" s="5" t="s">
        <v>81</v>
      </c>
      <c r="E145" s="5" t="s">
        <v>308</v>
      </c>
      <c r="F145" s="5" t="s">
        <v>309</v>
      </c>
      <c r="G145" s="5" t="s">
        <v>78</v>
      </c>
      <c r="H145" s="14" t="n">
        <v>5.65</v>
      </c>
      <c r="I145" s="14" t="n">
        <v>5.65</v>
      </c>
      <c r="J145" s="0" t="n">
        <v>1</v>
      </c>
      <c r="L145" s="0" t="n">
        <v>2</v>
      </c>
      <c r="M145" s="6" t="n">
        <v>11.3</v>
      </c>
      <c r="N145" s="5" t="s">
        <v>77</v>
      </c>
    </row>
    <row r="146" customFormat="false" ht="15" hidden="false" customHeight="false" outlineLevel="0" collapsed="false">
      <c r="A146" s="4" t="n">
        <v>46000</v>
      </c>
      <c r="B146" s="5" t="s">
        <v>19</v>
      </c>
      <c r="C146" s="5" t="s">
        <v>16</v>
      </c>
      <c r="D146" s="5" t="s">
        <v>160</v>
      </c>
      <c r="E146" s="5" t="s">
        <v>200</v>
      </c>
      <c r="F146" s="5" t="s">
        <v>201</v>
      </c>
      <c r="G146" s="5" t="s">
        <v>78</v>
      </c>
      <c r="H146" s="14" t="n">
        <v>23.94</v>
      </c>
      <c r="I146" s="14" t="n">
        <v>23.94</v>
      </c>
      <c r="J146" s="0" t="n">
        <v>1</v>
      </c>
      <c r="L146" s="0" t="n">
        <v>1</v>
      </c>
      <c r="M146" s="6" t="n">
        <v>23.94</v>
      </c>
      <c r="N146" s="5" t="s">
        <v>77</v>
      </c>
    </row>
    <row r="147" customFormat="false" ht="15" hidden="false" customHeight="false" outlineLevel="0" collapsed="false">
      <c r="A147" s="4" t="n">
        <v>46000</v>
      </c>
      <c r="B147" s="5" t="s">
        <v>19</v>
      </c>
      <c r="C147" s="5" t="s">
        <v>16</v>
      </c>
      <c r="D147" s="5" t="s">
        <v>328</v>
      </c>
      <c r="E147" s="5" t="s">
        <v>333</v>
      </c>
      <c r="F147" s="5" t="s">
        <v>334</v>
      </c>
      <c r="G147" s="5" t="s">
        <v>78</v>
      </c>
      <c r="H147" s="14" t="n">
        <v>5.4</v>
      </c>
      <c r="I147" s="14" t="n">
        <v>5.4</v>
      </c>
      <c r="J147" s="0" t="n">
        <v>1</v>
      </c>
      <c r="L147" s="0" t="n">
        <v>3</v>
      </c>
      <c r="M147" s="6" t="n">
        <v>16.2</v>
      </c>
      <c r="N147" s="5" t="s">
        <v>115</v>
      </c>
    </row>
    <row r="148" customFormat="false" ht="15" hidden="false" customHeight="false" outlineLevel="0" collapsed="false">
      <c r="A148" s="4" t="n">
        <v>46000</v>
      </c>
      <c r="B148" s="5" t="s">
        <v>19</v>
      </c>
      <c r="C148" s="5" t="s">
        <v>16</v>
      </c>
      <c r="D148" s="5" t="s">
        <v>328</v>
      </c>
      <c r="E148" s="5" t="s">
        <v>329</v>
      </c>
      <c r="F148" s="5" t="s">
        <v>330</v>
      </c>
      <c r="G148" s="5" t="s">
        <v>78</v>
      </c>
      <c r="H148" s="14" t="n">
        <v>3.18</v>
      </c>
      <c r="I148" s="14" t="n">
        <v>3.18</v>
      </c>
      <c r="J148" s="0" t="n">
        <v>1</v>
      </c>
      <c r="L148" s="0" t="n">
        <v>1</v>
      </c>
      <c r="M148" s="6" t="n">
        <v>3.18</v>
      </c>
      <c r="N148" s="5" t="s">
        <v>115</v>
      </c>
    </row>
    <row r="149" customFormat="false" ht="15" hidden="false" customHeight="false" outlineLevel="0" collapsed="false">
      <c r="A149" s="4" t="n">
        <v>46002</v>
      </c>
      <c r="B149" s="5" t="s">
        <v>20</v>
      </c>
      <c r="C149" s="5" t="s">
        <v>12</v>
      </c>
      <c r="E149" s="5" t="s">
        <v>353</v>
      </c>
      <c r="F149" s="5" t="s">
        <v>354</v>
      </c>
      <c r="G149" s="5" t="s">
        <v>78</v>
      </c>
      <c r="H149" s="14" t="n">
        <v>8.25</v>
      </c>
      <c r="I149" s="14" t="n">
        <v>8.25</v>
      </c>
      <c r="J149" s="0" t="n">
        <v>1</v>
      </c>
      <c r="L149" s="0" t="n">
        <v>4</v>
      </c>
      <c r="M149" s="6" t="n">
        <v>33</v>
      </c>
      <c r="N149" s="5" t="s">
        <v>115</v>
      </c>
    </row>
    <row r="150" customFormat="false" ht="15" hidden="false" customHeight="false" outlineLevel="0" collapsed="false">
      <c r="A150" s="4" t="n">
        <v>46002</v>
      </c>
      <c r="B150" s="5" t="s">
        <v>20</v>
      </c>
      <c r="C150" s="5" t="s">
        <v>12</v>
      </c>
      <c r="E150" s="5" t="s">
        <v>351</v>
      </c>
      <c r="F150" s="5" t="s">
        <v>352</v>
      </c>
      <c r="G150" s="5" t="s">
        <v>78</v>
      </c>
      <c r="H150" s="14" t="n">
        <v>7.25</v>
      </c>
      <c r="I150" s="14" t="n">
        <v>7.25</v>
      </c>
      <c r="J150" s="0" t="n">
        <v>1</v>
      </c>
      <c r="L150" s="0" t="n">
        <v>4</v>
      </c>
      <c r="M150" s="6" t="n">
        <v>29</v>
      </c>
      <c r="N150" s="5" t="s">
        <v>115</v>
      </c>
    </row>
    <row r="151" customFormat="false" ht="15" hidden="false" customHeight="false" outlineLevel="0" collapsed="false">
      <c r="A151" s="4" t="n">
        <v>46002</v>
      </c>
      <c r="B151" s="5" t="s">
        <v>20</v>
      </c>
      <c r="C151" s="5" t="s">
        <v>12</v>
      </c>
      <c r="D151" s="5" t="s">
        <v>339</v>
      </c>
      <c r="E151" s="5" t="s">
        <v>340</v>
      </c>
      <c r="F151" s="5" t="s">
        <v>341</v>
      </c>
      <c r="G151" s="5" t="s">
        <v>386</v>
      </c>
      <c r="H151" s="14" t="n">
        <v>1.197</v>
      </c>
      <c r="I151" s="14" t="n">
        <v>23.93</v>
      </c>
      <c r="J151" s="0" t="n">
        <v>20</v>
      </c>
      <c r="L151" s="0" t="n">
        <v>1</v>
      </c>
      <c r="M151" s="6" t="n">
        <v>23.93</v>
      </c>
      <c r="N151" s="5" t="s">
        <v>115</v>
      </c>
    </row>
    <row r="152" customFormat="false" ht="15" hidden="false" customHeight="false" outlineLevel="0" collapsed="false">
      <c r="A152" s="4" t="n">
        <v>46002</v>
      </c>
      <c r="B152" s="5" t="s">
        <v>20</v>
      </c>
      <c r="C152" s="5" t="s">
        <v>12</v>
      </c>
      <c r="D152" s="5" t="s">
        <v>339</v>
      </c>
      <c r="E152" s="5" t="s">
        <v>344</v>
      </c>
      <c r="F152" s="5" t="s">
        <v>345</v>
      </c>
      <c r="G152" s="5" t="s">
        <v>386</v>
      </c>
      <c r="H152" s="14" t="n">
        <v>1.698</v>
      </c>
      <c r="I152" s="14" t="n">
        <v>8.49</v>
      </c>
      <c r="J152" s="0" t="n">
        <v>5</v>
      </c>
      <c r="L152" s="0" t="n">
        <v>1</v>
      </c>
      <c r="M152" s="6" t="n">
        <v>8.49</v>
      </c>
      <c r="N152" s="5" t="s">
        <v>115</v>
      </c>
    </row>
    <row r="153" customFormat="false" ht="15" hidden="false" customHeight="false" outlineLevel="0" collapsed="false">
      <c r="A153" s="4" t="n">
        <v>46002</v>
      </c>
      <c r="B153" s="5" t="s">
        <v>20</v>
      </c>
      <c r="C153" s="5" t="s">
        <v>12</v>
      </c>
      <c r="D153" s="5" t="s">
        <v>339</v>
      </c>
      <c r="E153" s="5" t="s">
        <v>342</v>
      </c>
      <c r="F153" s="5" t="s">
        <v>343</v>
      </c>
      <c r="G153" s="5" t="s">
        <v>386</v>
      </c>
      <c r="H153" s="14" t="n">
        <v>1.52</v>
      </c>
      <c r="I153" s="14" t="n">
        <v>15.2</v>
      </c>
      <c r="J153" s="0" t="n">
        <v>10</v>
      </c>
      <c r="L153" s="0" t="n">
        <v>2</v>
      </c>
      <c r="M153" s="6" t="n">
        <v>30.4</v>
      </c>
      <c r="N153" s="5" t="s">
        <v>115</v>
      </c>
    </row>
    <row r="154" customFormat="false" ht="15" hidden="false" customHeight="false" outlineLevel="0" collapsed="false">
      <c r="A154" s="4" t="n">
        <v>46002</v>
      </c>
      <c r="B154" s="5" t="s">
        <v>20</v>
      </c>
      <c r="C154" s="5" t="s">
        <v>12</v>
      </c>
      <c r="D154" s="5" t="s">
        <v>182</v>
      </c>
      <c r="E154" s="5" t="s">
        <v>180</v>
      </c>
      <c r="F154" s="5" t="s">
        <v>181</v>
      </c>
      <c r="G154" s="5" t="s">
        <v>386</v>
      </c>
      <c r="H154" s="14" t="n">
        <v>1.44</v>
      </c>
      <c r="I154" s="14" t="n">
        <v>8.64</v>
      </c>
      <c r="J154" s="0" t="n">
        <v>6</v>
      </c>
      <c r="L154" s="0" t="n">
        <v>1</v>
      </c>
      <c r="M154" s="6" t="n">
        <v>8.64</v>
      </c>
      <c r="N154" s="5" t="s">
        <v>77</v>
      </c>
    </row>
    <row r="155" customFormat="false" ht="15" hidden="false" customHeight="false" outlineLevel="0" collapsed="false">
      <c r="A155" s="4" t="n">
        <v>46002</v>
      </c>
      <c r="B155" s="5" t="s">
        <v>20</v>
      </c>
      <c r="C155" s="5" t="s">
        <v>12</v>
      </c>
      <c r="D155" s="5" t="s">
        <v>182</v>
      </c>
      <c r="E155" s="5" t="s">
        <v>274</v>
      </c>
      <c r="F155" s="5" t="s">
        <v>275</v>
      </c>
      <c r="G155" s="5" t="s">
        <v>386</v>
      </c>
      <c r="H155" s="14" t="n">
        <v>2.078</v>
      </c>
      <c r="I155" s="14" t="n">
        <v>12.47</v>
      </c>
      <c r="J155" s="0" t="n">
        <v>6</v>
      </c>
      <c r="L155" s="0" t="n">
        <v>1</v>
      </c>
      <c r="M155" s="6" t="n">
        <v>12.47</v>
      </c>
      <c r="N155" s="5" t="s">
        <v>77</v>
      </c>
    </row>
    <row r="156" customFormat="false" ht="15" hidden="false" customHeight="false" outlineLevel="0" collapsed="false">
      <c r="A156" s="4" t="n">
        <v>46002</v>
      </c>
      <c r="B156" s="5" t="s">
        <v>20</v>
      </c>
      <c r="C156" s="5" t="s">
        <v>12</v>
      </c>
      <c r="D156" s="5" t="s">
        <v>182</v>
      </c>
      <c r="E156" s="5" t="s">
        <v>276</v>
      </c>
      <c r="F156" s="5" t="s">
        <v>277</v>
      </c>
      <c r="G156" s="5" t="s">
        <v>386</v>
      </c>
      <c r="H156" s="14" t="n">
        <v>0.915</v>
      </c>
      <c r="I156" s="14" t="n">
        <v>5.49</v>
      </c>
      <c r="J156" s="0" t="n">
        <v>6</v>
      </c>
      <c r="L156" s="0" t="n">
        <v>5</v>
      </c>
      <c r="M156" s="6" t="n">
        <v>27.45</v>
      </c>
      <c r="N156" s="5" t="s">
        <v>77</v>
      </c>
    </row>
    <row r="157" customFormat="false" ht="15" hidden="false" customHeight="false" outlineLevel="0" collapsed="false">
      <c r="A157" s="4" t="n">
        <v>46002</v>
      </c>
      <c r="B157" s="5" t="s">
        <v>20</v>
      </c>
      <c r="C157" s="5" t="s">
        <v>12</v>
      </c>
      <c r="D157" s="5" t="s">
        <v>98</v>
      </c>
      <c r="E157" s="5" t="s">
        <v>240</v>
      </c>
      <c r="F157" s="5" t="s">
        <v>241</v>
      </c>
      <c r="G157" s="5" t="s">
        <v>78</v>
      </c>
      <c r="H157" s="14" t="n">
        <v>3.99</v>
      </c>
      <c r="I157" s="14" t="n">
        <v>3.99</v>
      </c>
      <c r="J157" s="0" t="n">
        <v>1</v>
      </c>
      <c r="L157" s="0" t="n">
        <v>2</v>
      </c>
      <c r="M157" s="6" t="n">
        <v>7.98</v>
      </c>
      <c r="N157" s="5" t="s">
        <v>77</v>
      </c>
    </row>
    <row r="158" customFormat="false" ht="15" hidden="false" customHeight="false" outlineLevel="0" collapsed="false">
      <c r="A158" s="4" t="n">
        <v>46002</v>
      </c>
      <c r="B158" s="5" t="s">
        <v>20</v>
      </c>
      <c r="C158" s="5" t="s">
        <v>12</v>
      </c>
      <c r="D158" s="5" t="s">
        <v>98</v>
      </c>
      <c r="E158" s="5" t="s">
        <v>230</v>
      </c>
      <c r="F158" s="5" t="s">
        <v>231</v>
      </c>
      <c r="G158" s="5" t="s">
        <v>78</v>
      </c>
      <c r="H158" s="14" t="n">
        <v>3.79</v>
      </c>
      <c r="I158" s="14" t="n">
        <v>3.79</v>
      </c>
      <c r="J158" s="0" t="n">
        <v>1</v>
      </c>
      <c r="L158" s="0" t="n">
        <v>1</v>
      </c>
      <c r="M158" s="6" t="n">
        <v>3.79</v>
      </c>
      <c r="N158" s="5" t="s">
        <v>77</v>
      </c>
    </row>
    <row r="159" customFormat="false" ht="15" hidden="false" customHeight="false" outlineLevel="0" collapsed="false">
      <c r="A159" s="4" t="n">
        <v>46002</v>
      </c>
      <c r="B159" s="5" t="s">
        <v>20</v>
      </c>
      <c r="C159" s="5" t="s">
        <v>12</v>
      </c>
      <c r="D159" s="5" t="s">
        <v>98</v>
      </c>
      <c r="E159" s="5" t="s">
        <v>232</v>
      </c>
      <c r="F159" s="5" t="s">
        <v>233</v>
      </c>
      <c r="G159" s="5" t="s">
        <v>78</v>
      </c>
      <c r="H159" s="14" t="n">
        <v>7.2</v>
      </c>
      <c r="I159" s="14" t="n">
        <v>7.2</v>
      </c>
      <c r="J159" s="0" t="n">
        <v>1</v>
      </c>
      <c r="L159" s="0" t="n">
        <v>1</v>
      </c>
      <c r="M159" s="6" t="n">
        <v>7.2</v>
      </c>
      <c r="N159" s="5" t="s">
        <v>77</v>
      </c>
    </row>
    <row r="160" customFormat="false" ht="15" hidden="false" customHeight="false" outlineLevel="0" collapsed="false">
      <c r="A160" s="4" t="n">
        <v>46002</v>
      </c>
      <c r="B160" s="5" t="s">
        <v>20</v>
      </c>
      <c r="C160" s="5" t="s">
        <v>12</v>
      </c>
      <c r="D160" s="5" t="s">
        <v>98</v>
      </c>
      <c r="E160" s="5" t="s">
        <v>268</v>
      </c>
      <c r="F160" s="5" t="s">
        <v>269</v>
      </c>
      <c r="G160" s="5" t="s">
        <v>386</v>
      </c>
      <c r="H160" s="14" t="n">
        <v>1.813</v>
      </c>
      <c r="I160" s="14" t="n">
        <v>5.44</v>
      </c>
      <c r="J160" s="0" t="n">
        <v>3</v>
      </c>
      <c r="L160" s="0" t="n">
        <v>1</v>
      </c>
      <c r="M160" s="6" t="n">
        <v>5.44</v>
      </c>
      <c r="N160" s="5" t="s">
        <v>77</v>
      </c>
    </row>
    <row r="161" customFormat="false" ht="15" hidden="false" customHeight="false" outlineLevel="0" collapsed="false">
      <c r="A161" s="4" t="n">
        <v>46002</v>
      </c>
      <c r="B161" s="5" t="s">
        <v>20</v>
      </c>
      <c r="C161" s="5" t="s">
        <v>12</v>
      </c>
      <c r="D161" s="5" t="s">
        <v>98</v>
      </c>
      <c r="E161" s="5" t="s">
        <v>266</v>
      </c>
      <c r="F161" s="5" t="s">
        <v>267</v>
      </c>
      <c r="G161" s="5" t="s">
        <v>386</v>
      </c>
      <c r="H161" s="14" t="n">
        <v>2.58</v>
      </c>
      <c r="I161" s="14" t="n">
        <v>7.74</v>
      </c>
      <c r="J161" s="0" t="n">
        <v>3</v>
      </c>
      <c r="L161" s="0" t="n">
        <v>1</v>
      </c>
      <c r="M161" s="6" t="n">
        <v>7.74</v>
      </c>
      <c r="N161" s="5" t="s">
        <v>77</v>
      </c>
    </row>
    <row r="162" customFormat="false" ht="15" hidden="false" customHeight="false" outlineLevel="0" collapsed="false">
      <c r="A162" s="4" t="n">
        <v>46002</v>
      </c>
      <c r="B162" s="5" t="s">
        <v>20</v>
      </c>
      <c r="C162" s="5" t="s">
        <v>12</v>
      </c>
      <c r="D162" s="5" t="s">
        <v>98</v>
      </c>
      <c r="E162" s="5" t="s">
        <v>234</v>
      </c>
      <c r="F162" s="5" t="s">
        <v>235</v>
      </c>
      <c r="G162" s="5" t="s">
        <v>78</v>
      </c>
      <c r="H162" s="14" t="n">
        <v>4.23</v>
      </c>
      <c r="I162" s="14" t="n">
        <v>4.23</v>
      </c>
      <c r="J162" s="0" t="n">
        <v>1</v>
      </c>
      <c r="L162" s="0" t="n">
        <v>1</v>
      </c>
      <c r="M162" s="6" t="n">
        <v>4.23</v>
      </c>
      <c r="N162" s="5" t="s">
        <v>77</v>
      </c>
    </row>
    <row r="163" customFormat="false" ht="15" hidden="false" customHeight="false" outlineLevel="0" collapsed="false">
      <c r="A163" s="4" t="n">
        <v>46002</v>
      </c>
      <c r="B163" s="5" t="s">
        <v>20</v>
      </c>
      <c r="C163" s="5" t="s">
        <v>12</v>
      </c>
      <c r="D163" s="5" t="s">
        <v>98</v>
      </c>
      <c r="E163" s="5" t="s">
        <v>238</v>
      </c>
      <c r="F163" s="5" t="s">
        <v>239</v>
      </c>
      <c r="G163" s="5" t="s">
        <v>78</v>
      </c>
      <c r="H163" s="14" t="n">
        <v>11.28</v>
      </c>
      <c r="I163" s="14" t="n">
        <v>11.28</v>
      </c>
      <c r="J163" s="0" t="n">
        <v>1</v>
      </c>
      <c r="L163" s="0" t="n">
        <v>1</v>
      </c>
      <c r="M163" s="6" t="n">
        <v>11.28</v>
      </c>
      <c r="N163" s="5" t="s">
        <v>77</v>
      </c>
    </row>
    <row r="164" customFormat="false" ht="15" hidden="false" customHeight="false" outlineLevel="0" collapsed="false">
      <c r="A164" s="4" t="n">
        <v>46002</v>
      </c>
      <c r="B164" s="5" t="s">
        <v>20</v>
      </c>
      <c r="C164" s="5" t="s">
        <v>12</v>
      </c>
      <c r="D164" s="5" t="s">
        <v>98</v>
      </c>
      <c r="E164" s="5" t="s">
        <v>236</v>
      </c>
      <c r="F164" s="5" t="s">
        <v>237</v>
      </c>
      <c r="G164" s="5" t="s">
        <v>78</v>
      </c>
      <c r="H164" s="14" t="n">
        <v>10.33</v>
      </c>
      <c r="I164" s="14" t="n">
        <v>10.33</v>
      </c>
      <c r="J164" s="0" t="n">
        <v>1</v>
      </c>
      <c r="L164" s="0" t="n">
        <v>2</v>
      </c>
      <c r="M164" s="6" t="n">
        <v>20.66</v>
      </c>
      <c r="N164" s="5" t="s">
        <v>77</v>
      </c>
    </row>
    <row r="165" customFormat="false" ht="15" hidden="false" customHeight="false" outlineLevel="0" collapsed="false">
      <c r="A165" s="4" t="n">
        <v>46002</v>
      </c>
      <c r="B165" s="5" t="s">
        <v>20</v>
      </c>
      <c r="C165" s="5" t="s">
        <v>12</v>
      </c>
      <c r="D165" s="5" t="s">
        <v>289</v>
      </c>
      <c r="E165" s="5" t="s">
        <v>300</v>
      </c>
      <c r="F165" s="5" t="s">
        <v>301</v>
      </c>
      <c r="G165" s="5" t="s">
        <v>78</v>
      </c>
      <c r="H165" s="14" t="n">
        <v>2.17</v>
      </c>
      <c r="I165" s="14" t="n">
        <v>2.17</v>
      </c>
      <c r="J165" s="0" t="n">
        <v>1</v>
      </c>
      <c r="L165" s="0" t="n">
        <v>2</v>
      </c>
      <c r="M165" s="6" t="n">
        <v>4.34</v>
      </c>
      <c r="N165" s="5" t="s">
        <v>77</v>
      </c>
    </row>
    <row r="166" customFormat="false" ht="15" hidden="false" customHeight="false" outlineLevel="0" collapsed="false">
      <c r="A166" s="4" t="n">
        <v>46002</v>
      </c>
      <c r="B166" s="5" t="s">
        <v>20</v>
      </c>
      <c r="C166" s="5" t="s">
        <v>12</v>
      </c>
      <c r="D166" s="5" t="s">
        <v>289</v>
      </c>
      <c r="E166" s="5" t="s">
        <v>294</v>
      </c>
      <c r="F166" s="5" t="s">
        <v>295</v>
      </c>
      <c r="G166" s="5" t="s">
        <v>78</v>
      </c>
      <c r="H166" s="14" t="n">
        <v>4.2</v>
      </c>
      <c r="I166" s="14" t="n">
        <v>4.2</v>
      </c>
      <c r="J166" s="0" t="n">
        <v>1</v>
      </c>
      <c r="L166" s="0" t="n">
        <v>1</v>
      </c>
      <c r="M166" s="6" t="n">
        <v>4.2</v>
      </c>
      <c r="N166" s="5" t="s">
        <v>77</v>
      </c>
    </row>
    <row r="167" customFormat="false" ht="15" hidden="false" customHeight="false" outlineLevel="0" collapsed="false">
      <c r="A167" s="4" t="n">
        <v>46002</v>
      </c>
      <c r="B167" s="5" t="s">
        <v>20</v>
      </c>
      <c r="C167" s="5" t="s">
        <v>12</v>
      </c>
      <c r="D167" s="5" t="s">
        <v>289</v>
      </c>
      <c r="E167" s="5" t="s">
        <v>292</v>
      </c>
      <c r="F167" s="5" t="s">
        <v>293</v>
      </c>
      <c r="G167" s="5" t="s">
        <v>78</v>
      </c>
      <c r="H167" s="14" t="n">
        <v>7.05</v>
      </c>
      <c r="I167" s="14" t="n">
        <v>7.05</v>
      </c>
      <c r="J167" s="0" t="n">
        <v>1</v>
      </c>
      <c r="L167" s="0" t="n">
        <v>1</v>
      </c>
      <c r="M167" s="6" t="n">
        <v>7.05</v>
      </c>
      <c r="N167" s="5" t="s">
        <v>77</v>
      </c>
    </row>
    <row r="168" customFormat="false" ht="15" hidden="false" customHeight="false" outlineLevel="0" collapsed="false">
      <c r="A168" s="4" t="n">
        <v>46002</v>
      </c>
      <c r="B168" s="5" t="s">
        <v>20</v>
      </c>
      <c r="C168" s="5" t="s">
        <v>12</v>
      </c>
      <c r="D168" s="5" t="s">
        <v>81</v>
      </c>
      <c r="E168" s="5" t="s">
        <v>191</v>
      </c>
      <c r="F168" s="5" t="s">
        <v>192</v>
      </c>
      <c r="G168" s="5" t="s">
        <v>78</v>
      </c>
      <c r="H168" s="14" t="n">
        <v>16.97</v>
      </c>
      <c r="I168" s="14" t="n">
        <v>16.97</v>
      </c>
      <c r="J168" s="0" t="n">
        <v>1</v>
      </c>
      <c r="L168" s="0" t="n">
        <v>2</v>
      </c>
      <c r="M168" s="6" t="n">
        <v>33.94</v>
      </c>
      <c r="N168" s="5" t="s">
        <v>77</v>
      </c>
    </row>
    <row r="169" customFormat="false" ht="15" hidden="false" customHeight="false" outlineLevel="0" collapsed="false">
      <c r="A169" s="4" t="n">
        <v>46002</v>
      </c>
      <c r="B169" s="5" t="s">
        <v>20</v>
      </c>
      <c r="C169" s="5" t="s">
        <v>12</v>
      </c>
      <c r="D169" s="5" t="s">
        <v>81</v>
      </c>
      <c r="E169" s="5" t="s">
        <v>183</v>
      </c>
      <c r="F169" s="5" t="s">
        <v>184</v>
      </c>
      <c r="G169" s="5" t="s">
        <v>386</v>
      </c>
      <c r="H169" s="14" t="n">
        <v>1.94</v>
      </c>
      <c r="I169" s="14" t="n">
        <v>11.64</v>
      </c>
      <c r="J169" s="0" t="n">
        <v>6</v>
      </c>
      <c r="L169" s="0" t="n">
        <v>6</v>
      </c>
      <c r="M169" s="6" t="n">
        <v>69.84</v>
      </c>
      <c r="N169" s="5" t="s">
        <v>77</v>
      </c>
    </row>
    <row r="170" customFormat="false" ht="15" hidden="false" customHeight="false" outlineLevel="0" collapsed="false">
      <c r="A170" s="4" t="n">
        <v>46002</v>
      </c>
      <c r="B170" s="5" t="s">
        <v>20</v>
      </c>
      <c r="C170" s="5" t="s">
        <v>12</v>
      </c>
      <c r="D170" s="5" t="s">
        <v>323</v>
      </c>
      <c r="E170" s="5" t="s">
        <v>321</v>
      </c>
      <c r="F170" s="5" t="s">
        <v>322</v>
      </c>
      <c r="G170" s="5" t="s">
        <v>78</v>
      </c>
      <c r="H170" s="14" t="n">
        <v>2.61</v>
      </c>
      <c r="I170" s="14" t="n">
        <v>2.61</v>
      </c>
      <c r="J170" s="0" t="n">
        <v>1</v>
      </c>
      <c r="L170" s="0" t="n">
        <v>22</v>
      </c>
      <c r="M170" s="6" t="n">
        <v>57.42</v>
      </c>
      <c r="N170" s="5" t="s">
        <v>77</v>
      </c>
    </row>
    <row r="171" customFormat="false" ht="15" hidden="false" customHeight="false" outlineLevel="0" collapsed="false">
      <c r="A171" s="4" t="n">
        <v>46002</v>
      </c>
      <c r="B171" s="5" t="s">
        <v>20</v>
      </c>
      <c r="C171" s="5" t="s">
        <v>12</v>
      </c>
      <c r="D171" s="5" t="s">
        <v>348</v>
      </c>
      <c r="E171" s="5" t="s">
        <v>349</v>
      </c>
      <c r="F171" s="5" t="s">
        <v>350</v>
      </c>
      <c r="G171" s="5" t="s">
        <v>78</v>
      </c>
      <c r="H171" s="14" t="n">
        <v>10.66</v>
      </c>
      <c r="I171" s="14" t="n">
        <v>10.66</v>
      </c>
      <c r="J171" s="0" t="n">
        <v>1</v>
      </c>
      <c r="L171" s="0" t="n">
        <v>1</v>
      </c>
      <c r="M171" s="6" t="n">
        <v>10.66</v>
      </c>
      <c r="N171" s="5" t="s">
        <v>77</v>
      </c>
    </row>
    <row r="172" customFormat="false" ht="15" hidden="false" customHeight="false" outlineLevel="0" collapsed="false">
      <c r="A172" s="4" t="n">
        <v>46002</v>
      </c>
      <c r="B172" s="5" t="s">
        <v>20</v>
      </c>
      <c r="C172" s="5" t="s">
        <v>12</v>
      </c>
      <c r="D172" s="5" t="s">
        <v>280</v>
      </c>
      <c r="E172" s="5" t="s">
        <v>281</v>
      </c>
      <c r="F172" s="5" t="s">
        <v>282</v>
      </c>
      <c r="G172" s="5" t="s">
        <v>78</v>
      </c>
      <c r="H172" s="14" t="n">
        <v>8.23</v>
      </c>
      <c r="I172" s="14" t="n">
        <v>8.23</v>
      </c>
      <c r="J172" s="0" t="n">
        <v>1</v>
      </c>
      <c r="L172" s="0" t="n">
        <v>1</v>
      </c>
      <c r="M172" s="6" t="n">
        <v>8.23</v>
      </c>
      <c r="N172" s="5" t="s">
        <v>77</v>
      </c>
    </row>
    <row r="173" customFormat="false" ht="15" hidden="false" customHeight="false" outlineLevel="0" collapsed="false">
      <c r="A173" s="4" t="n">
        <v>46002</v>
      </c>
      <c r="B173" s="5" t="s">
        <v>20</v>
      </c>
      <c r="C173" s="5" t="s">
        <v>12</v>
      </c>
      <c r="D173" s="5" t="s">
        <v>280</v>
      </c>
      <c r="E173" s="5" t="s">
        <v>283</v>
      </c>
      <c r="F173" s="5" t="s">
        <v>284</v>
      </c>
      <c r="G173" s="5" t="s">
        <v>78</v>
      </c>
      <c r="H173" s="14" t="n">
        <v>4.38</v>
      </c>
      <c r="I173" s="14" t="n">
        <v>4.38</v>
      </c>
      <c r="J173" s="0" t="n">
        <v>1</v>
      </c>
      <c r="L173" s="0" t="n">
        <v>1</v>
      </c>
      <c r="M173" s="6" t="n">
        <v>4.38</v>
      </c>
      <c r="N173" s="5" t="s">
        <v>77</v>
      </c>
    </row>
    <row r="174" customFormat="false" ht="15" hidden="false" customHeight="false" outlineLevel="0" collapsed="false">
      <c r="A174" s="4" t="n">
        <v>46002</v>
      </c>
      <c r="B174" s="5" t="s">
        <v>20</v>
      </c>
      <c r="C174" s="5" t="s">
        <v>12</v>
      </c>
      <c r="D174" s="5" t="s">
        <v>328</v>
      </c>
      <c r="E174" s="5" t="s">
        <v>197</v>
      </c>
      <c r="F174" s="5" t="s">
        <v>198</v>
      </c>
      <c r="G174" s="5" t="s">
        <v>78</v>
      </c>
      <c r="H174" s="14" t="n">
        <v>1.32</v>
      </c>
      <c r="I174" s="14" t="n">
        <v>1.32</v>
      </c>
      <c r="J174" s="0" t="n">
        <v>1</v>
      </c>
      <c r="L174" s="0" t="n">
        <v>4</v>
      </c>
      <c r="M174" s="6" t="n">
        <v>5.28</v>
      </c>
      <c r="N174" s="5" t="s">
        <v>115</v>
      </c>
    </row>
    <row r="175" customFormat="false" ht="15" hidden="false" customHeight="false" outlineLevel="0" collapsed="false">
      <c r="A175" s="4" t="n">
        <v>46002</v>
      </c>
      <c r="B175" s="5" t="s">
        <v>20</v>
      </c>
      <c r="C175" s="5" t="s">
        <v>12</v>
      </c>
      <c r="D175" s="5" t="s">
        <v>328</v>
      </c>
      <c r="E175" s="5" t="s">
        <v>326</v>
      </c>
      <c r="F175" s="5" t="s">
        <v>327</v>
      </c>
      <c r="G175" s="5" t="s">
        <v>78</v>
      </c>
      <c r="H175" s="14" t="n">
        <v>16.19</v>
      </c>
      <c r="I175" s="14" t="n">
        <v>16.19</v>
      </c>
      <c r="J175" s="0" t="n">
        <v>1</v>
      </c>
      <c r="L175" s="0" t="n">
        <v>1</v>
      </c>
      <c r="M175" s="6" t="n">
        <v>16.19</v>
      </c>
      <c r="N175" s="5" t="s">
        <v>115</v>
      </c>
    </row>
    <row r="176" customFormat="false" ht="15" hidden="false" customHeight="false" outlineLevel="0" collapsed="false">
      <c r="A176" s="4" t="n">
        <v>46007</v>
      </c>
      <c r="B176" s="5" t="s">
        <v>21</v>
      </c>
      <c r="C176" s="5" t="s">
        <v>14</v>
      </c>
      <c r="E176" s="5" t="s">
        <v>361</v>
      </c>
      <c r="F176" s="5" t="s">
        <v>362</v>
      </c>
      <c r="G176" s="5" t="s">
        <v>78</v>
      </c>
      <c r="H176" s="14" t="n">
        <v>3.05</v>
      </c>
      <c r="I176" s="14" t="n">
        <v>3.05</v>
      </c>
      <c r="J176" s="0" t="n">
        <v>1</v>
      </c>
      <c r="L176" s="0" t="n">
        <v>1</v>
      </c>
      <c r="M176" s="6" t="n">
        <v>3.05</v>
      </c>
      <c r="N176" s="5" t="s">
        <v>77</v>
      </c>
    </row>
    <row r="177" customFormat="false" ht="15" hidden="false" customHeight="false" outlineLevel="0" collapsed="false">
      <c r="A177" s="21" t="n">
        <v>46007</v>
      </c>
      <c r="B177" s="22" t="s">
        <v>21</v>
      </c>
      <c r="C177" s="22" t="s">
        <v>14</v>
      </c>
      <c r="D177" s="22"/>
      <c r="E177" s="22" t="s">
        <v>359</v>
      </c>
      <c r="F177" s="22" t="s">
        <v>360</v>
      </c>
      <c r="G177" s="22" t="s">
        <v>386</v>
      </c>
      <c r="H177" s="16" t="n">
        <v>0.93</v>
      </c>
      <c r="I177" s="16" t="n">
        <v>4.65</v>
      </c>
      <c r="J177" s="22" t="n">
        <v>5</v>
      </c>
      <c r="K177" s="22"/>
      <c r="L177" s="22" t="n">
        <v>1</v>
      </c>
      <c r="M177" s="23" t="n">
        <v>4.65</v>
      </c>
      <c r="N177" s="22" t="s">
        <v>77</v>
      </c>
      <c r="O177" s="22" t="s">
        <v>387</v>
      </c>
    </row>
    <row r="178" customFormat="false" ht="15" hidden="false" customHeight="false" outlineLevel="0" collapsed="false">
      <c r="A178" s="4" t="n">
        <v>46007</v>
      </c>
      <c r="B178" s="5" t="s">
        <v>21</v>
      </c>
      <c r="C178" s="5" t="s">
        <v>14</v>
      </c>
      <c r="E178" s="5" t="s">
        <v>363</v>
      </c>
      <c r="F178" s="5" t="s">
        <v>364</v>
      </c>
      <c r="G178" s="5" t="s">
        <v>78</v>
      </c>
      <c r="H178" s="14" t="n">
        <v>10.37</v>
      </c>
      <c r="I178" s="14" t="n">
        <v>10.37</v>
      </c>
      <c r="J178" s="0" t="n">
        <v>1</v>
      </c>
      <c r="L178" s="0" t="n">
        <v>1</v>
      </c>
      <c r="M178" s="6" t="n">
        <v>10.37</v>
      </c>
      <c r="N178" s="5" t="s">
        <v>77</v>
      </c>
    </row>
    <row r="179" customFormat="false" ht="15" hidden="false" customHeight="false" outlineLevel="0" collapsed="false">
      <c r="A179" s="4" t="n">
        <v>46007</v>
      </c>
      <c r="B179" s="5" t="s">
        <v>21</v>
      </c>
      <c r="C179" s="5" t="s">
        <v>14</v>
      </c>
      <c r="D179" s="5" t="s">
        <v>289</v>
      </c>
      <c r="E179" s="5" t="s">
        <v>302</v>
      </c>
      <c r="F179" s="5" t="s">
        <v>303</v>
      </c>
      <c r="G179" s="5" t="s">
        <v>386</v>
      </c>
      <c r="H179" s="14" t="n">
        <v>1.453</v>
      </c>
      <c r="I179" s="14" t="n">
        <v>8.72</v>
      </c>
      <c r="J179" s="0" t="n">
        <v>6</v>
      </c>
      <c r="L179" s="0" t="n">
        <v>1</v>
      </c>
      <c r="M179" s="6" t="n">
        <v>8.72</v>
      </c>
      <c r="N179" s="5" t="s">
        <v>77</v>
      </c>
    </row>
    <row r="180" customFormat="false" ht="15" hidden="false" customHeight="false" outlineLevel="0" collapsed="false">
      <c r="A180" s="4" t="n">
        <v>46007</v>
      </c>
      <c r="B180" s="5" t="s">
        <v>21</v>
      </c>
      <c r="C180" s="5" t="s">
        <v>14</v>
      </c>
      <c r="D180" s="5" t="s">
        <v>289</v>
      </c>
      <c r="E180" s="5" t="s">
        <v>298</v>
      </c>
      <c r="F180" s="5" t="s">
        <v>299</v>
      </c>
      <c r="G180" s="5" t="s">
        <v>386</v>
      </c>
      <c r="H180" s="14" t="n">
        <v>20.395</v>
      </c>
      <c r="I180" s="14" t="n">
        <v>40.79</v>
      </c>
      <c r="J180" s="0" t="n">
        <v>2</v>
      </c>
      <c r="L180" s="0" t="n">
        <v>1</v>
      </c>
      <c r="M180" s="6" t="n">
        <v>40.79</v>
      </c>
      <c r="N180" s="5" t="s">
        <v>77</v>
      </c>
    </row>
    <row r="181" customFormat="false" ht="15" hidden="false" customHeight="false" outlineLevel="0" collapsed="false">
      <c r="A181" s="4" t="n">
        <v>46007</v>
      </c>
      <c r="B181" s="5" t="s">
        <v>21</v>
      </c>
      <c r="C181" s="5" t="s">
        <v>14</v>
      </c>
      <c r="D181" s="5" t="s">
        <v>289</v>
      </c>
      <c r="E181" s="5" t="s">
        <v>290</v>
      </c>
      <c r="F181" s="5" t="s">
        <v>291</v>
      </c>
      <c r="G181" s="5" t="s">
        <v>78</v>
      </c>
      <c r="H181" s="14" t="n">
        <v>3.47</v>
      </c>
      <c r="I181" s="14" t="n">
        <v>3.47</v>
      </c>
      <c r="J181" s="0" t="n">
        <v>1</v>
      </c>
      <c r="L181" s="0" t="n">
        <v>1</v>
      </c>
      <c r="M181" s="6" t="n">
        <v>3.47</v>
      </c>
      <c r="N181" s="5" t="s">
        <v>77</v>
      </c>
    </row>
    <row r="182" customFormat="false" ht="15" hidden="false" customHeight="false" outlineLevel="0" collapsed="false">
      <c r="A182" s="4" t="n">
        <v>46007</v>
      </c>
      <c r="B182" s="5" t="s">
        <v>21</v>
      </c>
      <c r="C182" s="5" t="s">
        <v>14</v>
      </c>
      <c r="D182" s="5" t="s">
        <v>289</v>
      </c>
      <c r="E182" s="5" t="s">
        <v>292</v>
      </c>
      <c r="F182" s="5" t="s">
        <v>293</v>
      </c>
      <c r="G182" s="5" t="s">
        <v>78</v>
      </c>
      <c r="H182" s="14" t="n">
        <v>7.05</v>
      </c>
      <c r="I182" s="14" t="n">
        <v>7.05</v>
      </c>
      <c r="J182" s="0" t="n">
        <v>1</v>
      </c>
      <c r="L182" s="0" t="n">
        <v>1</v>
      </c>
      <c r="M182" s="6" t="n">
        <v>7.05</v>
      </c>
      <c r="N182" s="5" t="s">
        <v>77</v>
      </c>
    </row>
    <row r="183" customFormat="false" ht="15" hidden="false" customHeight="false" outlineLevel="0" collapsed="false">
      <c r="A183" s="4" t="n">
        <v>46007</v>
      </c>
      <c r="B183" s="5" t="s">
        <v>21</v>
      </c>
      <c r="C183" s="5" t="s">
        <v>14</v>
      </c>
      <c r="D183" s="5" t="s">
        <v>289</v>
      </c>
      <c r="E183" s="5" t="s">
        <v>287</v>
      </c>
      <c r="F183" s="5" t="s">
        <v>288</v>
      </c>
      <c r="G183" s="5" t="s">
        <v>78</v>
      </c>
      <c r="H183" s="14" t="n">
        <v>4.04</v>
      </c>
      <c r="I183" s="14" t="n">
        <v>4.04</v>
      </c>
      <c r="J183" s="0" t="n">
        <v>1</v>
      </c>
      <c r="L183" s="0" t="n">
        <v>1</v>
      </c>
      <c r="M183" s="6" t="n">
        <v>4.04</v>
      </c>
      <c r="N183" s="5" t="s">
        <v>77</v>
      </c>
    </row>
    <row r="184" customFormat="false" ht="15" hidden="false" customHeight="false" outlineLevel="0" collapsed="false">
      <c r="A184" s="4" t="n">
        <v>46007</v>
      </c>
      <c r="B184" s="5" t="s">
        <v>21</v>
      </c>
      <c r="C184" s="5" t="s">
        <v>14</v>
      </c>
      <c r="D184" s="5" t="s">
        <v>81</v>
      </c>
      <c r="E184" s="5" t="s">
        <v>186</v>
      </c>
      <c r="F184" s="5" t="s">
        <v>187</v>
      </c>
      <c r="G184" s="5" t="s">
        <v>386</v>
      </c>
      <c r="H184" s="14" t="n">
        <v>0.872</v>
      </c>
      <c r="I184" s="14" t="n">
        <v>5.23</v>
      </c>
      <c r="J184" s="0" t="n">
        <v>6</v>
      </c>
      <c r="L184" s="0" t="n">
        <v>2</v>
      </c>
      <c r="M184" s="6" t="n">
        <v>10.46</v>
      </c>
      <c r="N184" s="5" t="s">
        <v>77</v>
      </c>
    </row>
    <row r="185" customFormat="false" ht="15" hidden="false" customHeight="false" outlineLevel="0" collapsed="false">
      <c r="A185" s="4" t="n">
        <v>46007</v>
      </c>
      <c r="B185" s="5" t="s">
        <v>21</v>
      </c>
      <c r="C185" s="5" t="s">
        <v>14</v>
      </c>
      <c r="D185" s="5" t="s">
        <v>81</v>
      </c>
      <c r="E185" s="5" t="s">
        <v>304</v>
      </c>
      <c r="F185" s="5" t="s">
        <v>305</v>
      </c>
      <c r="G185" s="5" t="s">
        <v>386</v>
      </c>
      <c r="H185" s="14" t="n">
        <v>0.267</v>
      </c>
      <c r="I185" s="14" t="n">
        <v>3.2</v>
      </c>
      <c r="J185" s="0" t="n">
        <v>12</v>
      </c>
      <c r="L185" s="0" t="n">
        <v>1</v>
      </c>
      <c r="M185" s="6" t="n">
        <v>3.2</v>
      </c>
      <c r="N185" s="5" t="s">
        <v>77</v>
      </c>
    </row>
    <row r="186" customFormat="false" ht="15" hidden="false" customHeight="false" outlineLevel="0" collapsed="false">
      <c r="A186" s="4" t="n">
        <v>46007</v>
      </c>
      <c r="B186" s="5" t="s">
        <v>21</v>
      </c>
      <c r="C186" s="5" t="s">
        <v>14</v>
      </c>
      <c r="D186" s="5" t="s">
        <v>81</v>
      </c>
      <c r="E186" s="5" t="s">
        <v>306</v>
      </c>
      <c r="F186" s="5" t="s">
        <v>307</v>
      </c>
      <c r="G186" s="5" t="s">
        <v>78</v>
      </c>
      <c r="H186" s="14" t="n">
        <v>7.07</v>
      </c>
      <c r="I186" s="14" t="n">
        <v>7.07</v>
      </c>
      <c r="J186" s="0" t="n">
        <v>1</v>
      </c>
      <c r="L186" s="0" t="n">
        <v>1</v>
      </c>
      <c r="M186" s="6" t="n">
        <v>7.07</v>
      </c>
      <c r="N186" s="5" t="s">
        <v>77</v>
      </c>
    </row>
    <row r="187" customFormat="false" ht="15" hidden="false" customHeight="false" outlineLevel="0" collapsed="false">
      <c r="A187" s="4" t="n">
        <v>46007</v>
      </c>
      <c r="B187" s="5" t="s">
        <v>21</v>
      </c>
      <c r="C187" s="5" t="s">
        <v>14</v>
      </c>
      <c r="D187" s="5" t="s">
        <v>160</v>
      </c>
      <c r="E187" s="5" t="s">
        <v>204</v>
      </c>
      <c r="F187" s="5" t="s">
        <v>205</v>
      </c>
      <c r="G187" s="5" t="s">
        <v>78</v>
      </c>
      <c r="H187" s="14" t="n">
        <v>7.9</v>
      </c>
      <c r="I187" s="14" t="n">
        <v>7.9</v>
      </c>
      <c r="J187" s="0" t="n">
        <v>1</v>
      </c>
      <c r="L187" s="0" t="n">
        <v>3</v>
      </c>
      <c r="M187" s="6" t="n">
        <v>23.7</v>
      </c>
      <c r="N187" s="5" t="s">
        <v>77</v>
      </c>
    </row>
    <row r="188" customFormat="false" ht="15" hidden="false" customHeight="false" outlineLevel="0" collapsed="false">
      <c r="A188" s="4" t="n">
        <v>46007</v>
      </c>
      <c r="B188" s="5" t="s">
        <v>21</v>
      </c>
      <c r="C188" s="5" t="s">
        <v>14</v>
      </c>
      <c r="D188" s="5" t="s">
        <v>160</v>
      </c>
      <c r="E188" s="5" t="s">
        <v>183</v>
      </c>
      <c r="F188" s="5" t="s">
        <v>184</v>
      </c>
      <c r="G188" s="5" t="s">
        <v>386</v>
      </c>
      <c r="H188" s="14" t="n">
        <v>1.94</v>
      </c>
      <c r="I188" s="14" t="n">
        <v>11.64</v>
      </c>
      <c r="J188" s="0" t="n">
        <v>6</v>
      </c>
      <c r="L188" s="0" t="n">
        <v>1</v>
      </c>
      <c r="M188" s="6" t="n">
        <v>11.64</v>
      </c>
      <c r="N188" s="5" t="s">
        <v>77</v>
      </c>
    </row>
    <row r="189" customFormat="false" ht="15" hidden="false" customHeight="false" outlineLevel="0" collapsed="false">
      <c r="A189" s="4" t="n">
        <v>46007</v>
      </c>
      <c r="B189" s="5" t="s">
        <v>21</v>
      </c>
      <c r="C189" s="5" t="s">
        <v>14</v>
      </c>
      <c r="D189" s="5" t="s">
        <v>160</v>
      </c>
      <c r="E189" s="5" t="s">
        <v>183</v>
      </c>
      <c r="F189" s="5" t="s">
        <v>184</v>
      </c>
      <c r="G189" s="5" t="s">
        <v>386</v>
      </c>
      <c r="H189" s="14" t="n">
        <v>1.94</v>
      </c>
      <c r="I189" s="14" t="n">
        <v>11.64</v>
      </c>
      <c r="J189" s="0" t="n">
        <v>6</v>
      </c>
      <c r="L189" s="0" t="n">
        <v>1</v>
      </c>
      <c r="M189" s="6" t="n">
        <v>11.64</v>
      </c>
      <c r="N189" s="5" t="s">
        <v>77</v>
      </c>
    </row>
    <row r="190" customFormat="false" ht="15" hidden="false" customHeight="false" outlineLevel="0" collapsed="false">
      <c r="A190" s="4" t="n">
        <v>46007</v>
      </c>
      <c r="B190" s="5" t="s">
        <v>21</v>
      </c>
      <c r="C190" s="5" t="s">
        <v>14</v>
      </c>
      <c r="D190" s="5" t="s">
        <v>160</v>
      </c>
      <c r="E190" s="5" t="s">
        <v>183</v>
      </c>
      <c r="F190" s="5" t="s">
        <v>184</v>
      </c>
      <c r="G190" s="5" t="s">
        <v>386</v>
      </c>
      <c r="H190" s="14" t="n">
        <v>1.94</v>
      </c>
      <c r="I190" s="14" t="n">
        <v>11.64</v>
      </c>
      <c r="J190" s="0" t="n">
        <v>6</v>
      </c>
      <c r="L190" s="0" t="n">
        <v>1</v>
      </c>
      <c r="M190" s="6" t="n">
        <v>11.64</v>
      </c>
      <c r="N190" s="5" t="s">
        <v>77</v>
      </c>
    </row>
    <row r="191" customFormat="false" ht="15" hidden="false" customHeight="false" outlineLevel="0" collapsed="false">
      <c r="A191" s="4" t="n">
        <v>46007</v>
      </c>
      <c r="B191" s="5" t="s">
        <v>21</v>
      </c>
      <c r="C191" s="5" t="s">
        <v>14</v>
      </c>
      <c r="D191" s="5" t="s">
        <v>323</v>
      </c>
      <c r="E191" s="5" t="s">
        <v>321</v>
      </c>
      <c r="F191" s="5" t="s">
        <v>322</v>
      </c>
      <c r="G191" s="5" t="s">
        <v>78</v>
      </c>
      <c r="H191" s="14" t="n">
        <v>2.61</v>
      </c>
      <c r="I191" s="14" t="n">
        <v>2.61</v>
      </c>
      <c r="J191" s="0" t="n">
        <v>1</v>
      </c>
      <c r="L191" s="0" t="n">
        <v>1</v>
      </c>
      <c r="M191" s="6" t="n">
        <v>2.61</v>
      </c>
      <c r="N191" s="5" t="s">
        <v>77</v>
      </c>
    </row>
    <row r="192" customFormat="false" ht="15" hidden="false" customHeight="false" outlineLevel="0" collapsed="false">
      <c r="A192" s="4" t="n">
        <v>46007</v>
      </c>
      <c r="B192" s="5" t="s">
        <v>21</v>
      </c>
      <c r="C192" s="5" t="s">
        <v>14</v>
      </c>
      <c r="D192" s="5" t="s">
        <v>348</v>
      </c>
      <c r="E192" s="5" t="s">
        <v>346</v>
      </c>
      <c r="F192" s="5" t="s">
        <v>347</v>
      </c>
      <c r="G192" s="5" t="s">
        <v>78</v>
      </c>
      <c r="H192" s="14" t="n">
        <v>6.6</v>
      </c>
      <c r="I192" s="14" t="n">
        <v>6.6</v>
      </c>
      <c r="J192" s="0" t="n">
        <v>1</v>
      </c>
      <c r="L192" s="0" t="n">
        <v>3</v>
      </c>
      <c r="M192" s="6" t="n">
        <v>19.8</v>
      </c>
      <c r="N192" s="5" t="s">
        <v>77</v>
      </c>
    </row>
    <row r="193" customFormat="false" ht="15" hidden="false" customHeight="false" outlineLevel="0" collapsed="false">
      <c r="A193" s="4" t="n">
        <v>46007</v>
      </c>
      <c r="B193" s="5" t="s">
        <v>21</v>
      </c>
      <c r="C193" s="5" t="s">
        <v>14</v>
      </c>
      <c r="D193" s="5" t="s">
        <v>280</v>
      </c>
      <c r="E193" s="5" t="s">
        <v>197</v>
      </c>
      <c r="F193" s="5" t="s">
        <v>198</v>
      </c>
      <c r="G193" s="5" t="s">
        <v>78</v>
      </c>
      <c r="H193" s="14" t="n">
        <v>1.32</v>
      </c>
      <c r="I193" s="14" t="n">
        <v>1.32</v>
      </c>
      <c r="J193" s="0" t="n">
        <v>1</v>
      </c>
      <c r="L193" s="0" t="n">
        <v>4</v>
      </c>
      <c r="M193" s="6" t="n">
        <v>5.28</v>
      </c>
      <c r="N193" s="5" t="s">
        <v>115</v>
      </c>
    </row>
    <row r="194" customFormat="false" ht="15" hidden="false" customHeight="false" outlineLevel="0" collapsed="false">
      <c r="A194" s="21" t="n">
        <v>46007</v>
      </c>
      <c r="B194" s="22" t="s">
        <v>22</v>
      </c>
      <c r="C194" s="22" t="s">
        <v>16</v>
      </c>
      <c r="D194" s="22"/>
      <c r="E194" s="22" t="s">
        <v>148</v>
      </c>
      <c r="F194" s="22" t="s">
        <v>149</v>
      </c>
      <c r="G194" s="22" t="s">
        <v>386</v>
      </c>
      <c r="H194" s="16" t="n">
        <v>0.422</v>
      </c>
      <c r="I194" s="16" t="n">
        <v>10.13</v>
      </c>
      <c r="J194" s="22" t="n">
        <v>24</v>
      </c>
      <c r="K194" s="22"/>
      <c r="L194" s="22" t="n">
        <v>2</v>
      </c>
      <c r="M194" s="23" t="n">
        <v>20.26</v>
      </c>
      <c r="N194" s="22" t="s">
        <v>77</v>
      </c>
      <c r="O194" s="22" t="s">
        <v>387</v>
      </c>
    </row>
    <row r="195" customFormat="false" ht="15" hidden="false" customHeight="false" outlineLevel="0" collapsed="false">
      <c r="A195" s="4" t="n">
        <v>46007</v>
      </c>
      <c r="B195" s="5" t="s">
        <v>22</v>
      </c>
      <c r="C195" s="5" t="s">
        <v>16</v>
      </c>
      <c r="E195" s="5" t="s">
        <v>84</v>
      </c>
      <c r="F195" s="5" t="s">
        <v>85</v>
      </c>
      <c r="G195" s="5" t="s">
        <v>386</v>
      </c>
      <c r="H195" s="14" t="n">
        <v>1.403</v>
      </c>
      <c r="I195" s="14" t="n">
        <v>16.83</v>
      </c>
      <c r="J195" s="0" t="n">
        <v>12</v>
      </c>
      <c r="L195" s="0" t="n">
        <v>1</v>
      </c>
      <c r="M195" s="6" t="n">
        <v>16.83</v>
      </c>
      <c r="N195" s="5" t="s">
        <v>77</v>
      </c>
    </row>
    <row r="196" customFormat="false" ht="15" hidden="false" customHeight="false" outlineLevel="0" collapsed="false">
      <c r="A196" s="4" t="n">
        <v>46007</v>
      </c>
      <c r="B196" s="5" t="s">
        <v>22</v>
      </c>
      <c r="C196" s="5" t="s">
        <v>16</v>
      </c>
      <c r="E196" s="5" t="s">
        <v>84</v>
      </c>
      <c r="F196" s="5" t="s">
        <v>85</v>
      </c>
      <c r="G196" s="5" t="s">
        <v>386</v>
      </c>
      <c r="H196" s="14" t="n">
        <v>1.403</v>
      </c>
      <c r="I196" s="14" t="n">
        <v>16.83</v>
      </c>
      <c r="J196" s="0" t="n">
        <v>12</v>
      </c>
      <c r="L196" s="0" t="n">
        <v>3</v>
      </c>
      <c r="M196" s="6" t="n">
        <v>50.49</v>
      </c>
      <c r="N196" s="5" t="s">
        <v>77</v>
      </c>
    </row>
    <row r="197" customFormat="false" ht="15" hidden="false" customHeight="false" outlineLevel="0" collapsed="false">
      <c r="A197" s="4" t="n">
        <v>46007</v>
      </c>
      <c r="B197" s="5" t="s">
        <v>22</v>
      </c>
      <c r="C197" s="5" t="s">
        <v>16</v>
      </c>
      <c r="E197" s="5" t="s">
        <v>86</v>
      </c>
      <c r="F197" s="5" t="s">
        <v>87</v>
      </c>
      <c r="G197" s="5" t="s">
        <v>386</v>
      </c>
      <c r="H197" s="14" t="n">
        <v>1.403</v>
      </c>
      <c r="I197" s="14" t="n">
        <v>16.83</v>
      </c>
      <c r="J197" s="0" t="n">
        <v>12</v>
      </c>
      <c r="L197" s="0" t="n">
        <v>2</v>
      </c>
      <c r="M197" s="6" t="n">
        <v>33.66</v>
      </c>
      <c r="N197" s="5" t="s">
        <v>77</v>
      </c>
    </row>
    <row r="198" customFormat="false" ht="15" hidden="false" customHeight="false" outlineLevel="0" collapsed="false">
      <c r="A198" s="4" t="n">
        <v>46007</v>
      </c>
      <c r="B198" s="5" t="s">
        <v>22</v>
      </c>
      <c r="C198" s="5" t="s">
        <v>16</v>
      </c>
      <c r="E198" s="5" t="s">
        <v>88</v>
      </c>
      <c r="F198" s="5" t="s">
        <v>89</v>
      </c>
      <c r="G198" s="5" t="s">
        <v>386</v>
      </c>
      <c r="H198" s="14" t="n">
        <v>1.275</v>
      </c>
      <c r="I198" s="14" t="n">
        <v>15.3</v>
      </c>
      <c r="J198" s="0" t="n">
        <v>12</v>
      </c>
      <c r="L198" s="0" t="n">
        <v>1</v>
      </c>
      <c r="M198" s="6" t="n">
        <v>15.3</v>
      </c>
      <c r="N198" s="5" t="s">
        <v>77</v>
      </c>
    </row>
    <row r="199" customFormat="false" ht="15" hidden="false" customHeight="false" outlineLevel="0" collapsed="false">
      <c r="A199" s="4" t="n">
        <v>46007</v>
      </c>
      <c r="B199" s="5" t="s">
        <v>22</v>
      </c>
      <c r="C199" s="5" t="s">
        <v>16</v>
      </c>
      <c r="E199" s="5" t="s">
        <v>88</v>
      </c>
      <c r="F199" s="5" t="s">
        <v>89</v>
      </c>
      <c r="G199" s="5" t="s">
        <v>386</v>
      </c>
      <c r="H199" s="14" t="n">
        <v>1.275</v>
      </c>
      <c r="I199" s="14" t="n">
        <v>15.3</v>
      </c>
      <c r="J199" s="0" t="n">
        <v>12</v>
      </c>
      <c r="L199" s="0" t="n">
        <v>3</v>
      </c>
      <c r="M199" s="6" t="n">
        <v>45.9</v>
      </c>
      <c r="N199" s="5" t="s">
        <v>77</v>
      </c>
    </row>
    <row r="200" customFormat="false" ht="15" hidden="false" customHeight="false" outlineLevel="0" collapsed="false">
      <c r="A200" s="4" t="n">
        <v>46007</v>
      </c>
      <c r="B200" s="5" t="s">
        <v>22</v>
      </c>
      <c r="C200" s="5" t="s">
        <v>16</v>
      </c>
      <c r="E200" s="5" t="s">
        <v>134</v>
      </c>
      <c r="F200" s="5" t="s">
        <v>135</v>
      </c>
      <c r="G200" s="5" t="s">
        <v>386</v>
      </c>
      <c r="H200" s="14" t="n">
        <v>0.638</v>
      </c>
      <c r="I200" s="14" t="n">
        <v>15.31</v>
      </c>
      <c r="J200" s="0" t="n">
        <v>24</v>
      </c>
      <c r="L200" s="0" t="n">
        <v>4</v>
      </c>
      <c r="M200" s="6" t="n">
        <v>61.24</v>
      </c>
      <c r="N200" s="5" t="s">
        <v>77</v>
      </c>
    </row>
    <row r="201" customFormat="false" ht="15" hidden="false" customHeight="false" outlineLevel="0" collapsed="false">
      <c r="A201" s="4" t="n">
        <v>46007</v>
      </c>
      <c r="B201" s="5" t="s">
        <v>22</v>
      </c>
      <c r="C201" s="5" t="s">
        <v>16</v>
      </c>
      <c r="E201" s="5" t="s">
        <v>79</v>
      </c>
      <c r="F201" s="5" t="s">
        <v>80</v>
      </c>
      <c r="G201" s="5" t="s">
        <v>386</v>
      </c>
      <c r="H201" s="14" t="n">
        <v>0.531</v>
      </c>
      <c r="I201" s="14" t="n">
        <v>12.75</v>
      </c>
      <c r="J201" s="0" t="n">
        <v>24</v>
      </c>
      <c r="L201" s="0" t="n">
        <v>2</v>
      </c>
      <c r="M201" s="6" t="n">
        <v>25.5</v>
      </c>
      <c r="N201" s="5" t="s">
        <v>77</v>
      </c>
    </row>
    <row r="202" customFormat="false" ht="15" hidden="false" customHeight="false" outlineLevel="0" collapsed="false">
      <c r="A202" s="4" t="n">
        <v>46007</v>
      </c>
      <c r="B202" s="5" t="s">
        <v>22</v>
      </c>
      <c r="C202" s="5" t="s">
        <v>16</v>
      </c>
      <c r="E202" s="5" t="s">
        <v>136</v>
      </c>
      <c r="F202" s="5" t="s">
        <v>137</v>
      </c>
      <c r="G202" s="5" t="s">
        <v>386</v>
      </c>
      <c r="H202" s="14" t="n">
        <v>0.69</v>
      </c>
      <c r="I202" s="14" t="n">
        <v>16.55</v>
      </c>
      <c r="J202" s="0" t="n">
        <v>24</v>
      </c>
      <c r="L202" s="0" t="n">
        <v>2</v>
      </c>
      <c r="M202" s="6" t="n">
        <v>33.1</v>
      </c>
      <c r="N202" s="5" t="s">
        <v>77</v>
      </c>
    </row>
    <row r="203" customFormat="false" ht="15" hidden="false" customHeight="false" outlineLevel="0" collapsed="false">
      <c r="A203" s="4" t="n">
        <v>46007</v>
      </c>
      <c r="B203" s="5" t="s">
        <v>22</v>
      </c>
      <c r="C203" s="5" t="s">
        <v>16</v>
      </c>
      <c r="D203" s="5" t="s">
        <v>98</v>
      </c>
      <c r="E203" s="5" t="s">
        <v>220</v>
      </c>
      <c r="F203" s="5" t="s">
        <v>221</v>
      </c>
      <c r="G203" s="5" t="s">
        <v>386</v>
      </c>
      <c r="H203" s="14" t="n">
        <v>0.492</v>
      </c>
      <c r="I203" s="14" t="n">
        <v>17.72</v>
      </c>
      <c r="J203" s="0" t="n">
        <v>36</v>
      </c>
      <c r="L203" s="0" t="n">
        <v>1</v>
      </c>
      <c r="M203" s="6" t="n">
        <v>17.72</v>
      </c>
      <c r="N203" s="5" t="s">
        <v>115</v>
      </c>
    </row>
    <row r="204" customFormat="false" ht="15" hidden="false" customHeight="false" outlineLevel="0" collapsed="false">
      <c r="A204" s="4" t="n">
        <v>46007</v>
      </c>
      <c r="B204" s="5" t="s">
        <v>22</v>
      </c>
      <c r="C204" s="5" t="s">
        <v>16</v>
      </c>
      <c r="D204" s="5" t="s">
        <v>98</v>
      </c>
      <c r="E204" s="5" t="s">
        <v>174</v>
      </c>
      <c r="F204" s="5" t="s">
        <v>175</v>
      </c>
      <c r="G204" s="5" t="s">
        <v>386</v>
      </c>
      <c r="H204" s="14" t="n">
        <v>0.857</v>
      </c>
      <c r="I204" s="14" t="n">
        <v>20.57</v>
      </c>
      <c r="J204" s="0" t="n">
        <v>24</v>
      </c>
      <c r="L204" s="0" t="n">
        <v>1</v>
      </c>
      <c r="M204" s="6" t="n">
        <v>20.57</v>
      </c>
      <c r="N204" s="5" t="s">
        <v>115</v>
      </c>
    </row>
    <row r="205" customFormat="false" ht="15" hidden="false" customHeight="false" outlineLevel="0" collapsed="false">
      <c r="A205" s="21" t="n">
        <v>46007</v>
      </c>
      <c r="B205" s="22" t="s">
        <v>22</v>
      </c>
      <c r="C205" s="22" t="s">
        <v>16</v>
      </c>
      <c r="D205" s="22" t="s">
        <v>98</v>
      </c>
      <c r="E205" s="22" t="s">
        <v>82</v>
      </c>
      <c r="F205" s="22" t="s">
        <v>83</v>
      </c>
      <c r="G205" s="22" t="s">
        <v>386</v>
      </c>
      <c r="H205" s="16" t="n">
        <v>0.609</v>
      </c>
      <c r="I205" s="16" t="n">
        <v>18.27</v>
      </c>
      <c r="J205" s="22" t="n">
        <v>30</v>
      </c>
      <c r="K205" s="22"/>
      <c r="L205" s="22" t="n">
        <v>5</v>
      </c>
      <c r="M205" s="23" t="n">
        <v>91.35</v>
      </c>
      <c r="N205" s="22" t="s">
        <v>77</v>
      </c>
      <c r="O205" s="22" t="s">
        <v>387</v>
      </c>
    </row>
    <row r="206" customFormat="false" ht="15" hidden="false" customHeight="false" outlineLevel="0" collapsed="false">
      <c r="A206" s="4" t="n">
        <v>46007</v>
      </c>
      <c r="B206" s="5" t="s">
        <v>22</v>
      </c>
      <c r="C206" s="5" t="s">
        <v>16</v>
      </c>
      <c r="D206" s="5" t="s">
        <v>98</v>
      </c>
      <c r="E206" s="5" t="s">
        <v>178</v>
      </c>
      <c r="F206" s="5" t="s">
        <v>179</v>
      </c>
      <c r="G206" s="5" t="s">
        <v>386</v>
      </c>
      <c r="H206" s="14" t="n">
        <v>0.723</v>
      </c>
      <c r="I206" s="14" t="n">
        <v>17.36</v>
      </c>
      <c r="J206" s="0" t="n">
        <v>24</v>
      </c>
      <c r="L206" s="0" t="n">
        <v>2</v>
      </c>
      <c r="M206" s="6" t="n">
        <v>34.72</v>
      </c>
      <c r="N206" s="5" t="s">
        <v>115</v>
      </c>
    </row>
    <row r="207" customFormat="false" ht="15" hidden="false" customHeight="false" outlineLevel="0" collapsed="false">
      <c r="A207" s="4" t="n">
        <v>46007</v>
      </c>
      <c r="B207" s="5" t="s">
        <v>22</v>
      </c>
      <c r="C207" s="5" t="s">
        <v>16</v>
      </c>
      <c r="D207" s="5" t="s">
        <v>98</v>
      </c>
      <c r="E207" s="5" t="s">
        <v>113</v>
      </c>
      <c r="F207" s="5" t="s">
        <v>114</v>
      </c>
      <c r="G207" s="5" t="s">
        <v>386</v>
      </c>
      <c r="H207" s="14" t="n">
        <v>0.492</v>
      </c>
      <c r="I207" s="14" t="n">
        <v>11.81</v>
      </c>
      <c r="J207" s="0" t="n">
        <v>24</v>
      </c>
      <c r="L207" s="0" t="n">
        <v>1</v>
      </c>
      <c r="M207" s="6" t="n">
        <v>11.81</v>
      </c>
      <c r="N207" s="5" t="s">
        <v>115</v>
      </c>
    </row>
    <row r="208" customFormat="false" ht="15" hidden="false" customHeight="false" outlineLevel="0" collapsed="false">
      <c r="A208" s="4" t="n">
        <v>46007</v>
      </c>
      <c r="B208" s="5" t="s">
        <v>22</v>
      </c>
      <c r="C208" s="5" t="s">
        <v>16</v>
      </c>
      <c r="D208" s="5" t="s">
        <v>98</v>
      </c>
      <c r="E208" s="5" t="s">
        <v>120</v>
      </c>
      <c r="F208" s="5" t="s">
        <v>121</v>
      </c>
      <c r="G208" s="5" t="s">
        <v>386</v>
      </c>
      <c r="H208" s="14" t="n">
        <v>0.566</v>
      </c>
      <c r="I208" s="14" t="n">
        <v>20.39</v>
      </c>
      <c r="J208" s="0" t="n">
        <v>36</v>
      </c>
      <c r="L208" s="0" t="n">
        <v>2</v>
      </c>
      <c r="M208" s="6" t="n">
        <v>40.78</v>
      </c>
      <c r="N208" s="5" t="s">
        <v>77</v>
      </c>
    </row>
    <row r="209" customFormat="false" ht="15" hidden="false" customHeight="false" outlineLevel="0" collapsed="false">
      <c r="A209" s="4" t="n">
        <v>46007</v>
      </c>
      <c r="B209" s="5" t="s">
        <v>22</v>
      </c>
      <c r="C209" s="5" t="s">
        <v>16</v>
      </c>
      <c r="D209" s="5" t="s">
        <v>98</v>
      </c>
      <c r="E209" s="5" t="s">
        <v>126</v>
      </c>
      <c r="F209" s="5" t="s">
        <v>127</v>
      </c>
      <c r="G209" s="5" t="s">
        <v>386</v>
      </c>
      <c r="H209" s="14" t="n">
        <v>0.521</v>
      </c>
      <c r="I209" s="14" t="n">
        <v>16.68</v>
      </c>
      <c r="J209" s="0" t="n">
        <v>32</v>
      </c>
      <c r="L209" s="0" t="n">
        <v>1</v>
      </c>
      <c r="M209" s="6" t="n">
        <v>16.68</v>
      </c>
      <c r="N209" s="5" t="s">
        <v>77</v>
      </c>
    </row>
    <row r="210" customFormat="false" ht="15" hidden="false" customHeight="false" outlineLevel="0" collapsed="false">
      <c r="A210" s="4" t="n">
        <v>46007</v>
      </c>
      <c r="B210" s="5" t="s">
        <v>22</v>
      </c>
      <c r="C210" s="5" t="s">
        <v>16</v>
      </c>
      <c r="D210" s="5" t="s">
        <v>98</v>
      </c>
      <c r="E210" s="5" t="s">
        <v>163</v>
      </c>
      <c r="F210" s="5" t="s">
        <v>164</v>
      </c>
      <c r="G210" s="5" t="s">
        <v>386</v>
      </c>
      <c r="H210" s="14" t="n">
        <v>0.531</v>
      </c>
      <c r="I210" s="14" t="n">
        <v>21.22</v>
      </c>
      <c r="J210" s="0" t="n">
        <v>40</v>
      </c>
      <c r="L210" s="0" t="n">
        <v>2</v>
      </c>
      <c r="M210" s="6" t="n">
        <v>42.44</v>
      </c>
      <c r="N210" s="5" t="s">
        <v>115</v>
      </c>
    </row>
    <row r="211" customFormat="false" ht="15" hidden="false" customHeight="false" outlineLevel="0" collapsed="false">
      <c r="A211" s="4" t="n">
        <v>46007</v>
      </c>
      <c r="B211" s="5" t="s">
        <v>22</v>
      </c>
      <c r="C211" s="5" t="s">
        <v>16</v>
      </c>
      <c r="D211" s="5" t="s">
        <v>98</v>
      </c>
      <c r="E211" s="5" t="s">
        <v>130</v>
      </c>
      <c r="F211" s="5" t="s">
        <v>131</v>
      </c>
      <c r="G211" s="5" t="s">
        <v>386</v>
      </c>
      <c r="H211" s="14" t="n">
        <v>1.103</v>
      </c>
      <c r="I211" s="14" t="n">
        <v>4.41</v>
      </c>
      <c r="J211" s="0" t="n">
        <v>4</v>
      </c>
      <c r="L211" s="0" t="n">
        <v>11</v>
      </c>
      <c r="M211" s="6" t="n">
        <v>48.51</v>
      </c>
      <c r="N211" s="5" t="s">
        <v>77</v>
      </c>
    </row>
    <row r="212" customFormat="false" ht="15" hidden="false" customHeight="false" outlineLevel="0" collapsed="false">
      <c r="A212" s="21" t="n">
        <v>46007</v>
      </c>
      <c r="B212" s="22" t="s">
        <v>22</v>
      </c>
      <c r="C212" s="22" t="s">
        <v>16</v>
      </c>
      <c r="D212" s="22" t="s">
        <v>98</v>
      </c>
      <c r="E212" s="22" t="s">
        <v>132</v>
      </c>
      <c r="F212" s="22" t="s">
        <v>133</v>
      </c>
      <c r="G212" s="22" t="s">
        <v>386</v>
      </c>
      <c r="H212" s="16" t="n">
        <v>1.318</v>
      </c>
      <c r="I212" s="16" t="n">
        <v>5.27</v>
      </c>
      <c r="J212" s="22" t="n">
        <v>4</v>
      </c>
      <c r="K212" s="22"/>
      <c r="L212" s="22" t="n">
        <v>1</v>
      </c>
      <c r="M212" s="23" t="n">
        <v>5.27</v>
      </c>
      <c r="N212" s="22" t="s">
        <v>77</v>
      </c>
      <c r="O212" s="22" t="s">
        <v>387</v>
      </c>
    </row>
    <row r="213" customFormat="false" ht="15" hidden="false" customHeight="false" outlineLevel="0" collapsed="false">
      <c r="A213" s="21" t="n">
        <v>46007</v>
      </c>
      <c r="B213" s="22" t="s">
        <v>22</v>
      </c>
      <c r="C213" s="22" t="s">
        <v>16</v>
      </c>
      <c r="D213" s="22" t="s">
        <v>98</v>
      </c>
      <c r="E213" s="22" t="s">
        <v>116</v>
      </c>
      <c r="F213" s="22" t="s">
        <v>117</v>
      </c>
      <c r="G213" s="22" t="s">
        <v>386</v>
      </c>
      <c r="H213" s="16" t="n">
        <v>1.467</v>
      </c>
      <c r="I213" s="16" t="n">
        <v>13.2</v>
      </c>
      <c r="J213" s="22" t="n">
        <v>9</v>
      </c>
      <c r="K213" s="22"/>
      <c r="L213" s="22" t="n">
        <v>8</v>
      </c>
      <c r="M213" s="23" t="n">
        <v>105.6</v>
      </c>
      <c r="N213" s="22" t="s">
        <v>77</v>
      </c>
      <c r="O213" s="22" t="s">
        <v>387</v>
      </c>
    </row>
    <row r="214" customFormat="false" ht="15" hidden="false" customHeight="false" outlineLevel="0" collapsed="false">
      <c r="A214" s="4" t="n">
        <v>46007</v>
      </c>
      <c r="B214" s="5" t="s">
        <v>22</v>
      </c>
      <c r="C214" s="5" t="s">
        <v>16</v>
      </c>
      <c r="D214" s="5" t="s">
        <v>98</v>
      </c>
      <c r="E214" s="5" t="s">
        <v>156</v>
      </c>
      <c r="F214" s="5" t="s">
        <v>157</v>
      </c>
      <c r="G214" s="5" t="s">
        <v>78</v>
      </c>
      <c r="H214" s="14" t="n">
        <v>3.58</v>
      </c>
      <c r="I214" s="14" t="n">
        <v>3.58</v>
      </c>
      <c r="J214" s="0" t="n">
        <v>1</v>
      </c>
      <c r="L214" s="0" t="n">
        <v>4</v>
      </c>
      <c r="M214" s="6" t="n">
        <v>14.32</v>
      </c>
      <c r="N214" s="5" t="s">
        <v>77</v>
      </c>
    </row>
    <row r="215" customFormat="false" ht="15" hidden="false" customHeight="false" outlineLevel="0" collapsed="false">
      <c r="A215" s="21" t="n">
        <v>46007</v>
      </c>
      <c r="B215" s="22" t="s">
        <v>22</v>
      </c>
      <c r="C215" s="22" t="s">
        <v>16</v>
      </c>
      <c r="D215" s="22" t="s">
        <v>98</v>
      </c>
      <c r="E215" s="22" t="s">
        <v>124</v>
      </c>
      <c r="F215" s="22" t="s">
        <v>125</v>
      </c>
      <c r="G215" s="22" t="s">
        <v>386</v>
      </c>
      <c r="H215" s="16" t="n">
        <v>0.401</v>
      </c>
      <c r="I215" s="16" t="n">
        <v>8.02</v>
      </c>
      <c r="J215" s="22" t="n">
        <v>20</v>
      </c>
      <c r="K215" s="22"/>
      <c r="L215" s="22" t="n">
        <v>2</v>
      </c>
      <c r="M215" s="23" t="n">
        <v>16.04</v>
      </c>
      <c r="N215" s="22" t="s">
        <v>77</v>
      </c>
      <c r="O215" s="22" t="s">
        <v>387</v>
      </c>
    </row>
    <row r="216" customFormat="false" ht="15" hidden="false" customHeight="false" outlineLevel="0" collapsed="false">
      <c r="A216" s="4" t="n">
        <v>46007</v>
      </c>
      <c r="B216" s="5" t="s">
        <v>22</v>
      </c>
      <c r="C216" s="5" t="s">
        <v>16</v>
      </c>
      <c r="D216" s="5" t="s">
        <v>98</v>
      </c>
      <c r="E216" s="5" t="s">
        <v>94</v>
      </c>
      <c r="F216" s="5" t="s">
        <v>95</v>
      </c>
      <c r="G216" s="5" t="s">
        <v>386</v>
      </c>
      <c r="H216" s="14" t="n">
        <v>0.787</v>
      </c>
      <c r="I216" s="14" t="n">
        <v>18.89</v>
      </c>
      <c r="J216" s="0" t="n">
        <v>24</v>
      </c>
      <c r="L216" s="0" t="n">
        <v>2</v>
      </c>
      <c r="M216" s="6" t="n">
        <v>37.78</v>
      </c>
      <c r="N216" s="5" t="s">
        <v>77</v>
      </c>
    </row>
    <row r="217" customFormat="false" ht="15" hidden="false" customHeight="false" outlineLevel="0" collapsed="false">
      <c r="A217" s="4" t="n">
        <v>46007</v>
      </c>
      <c r="B217" s="5" t="s">
        <v>22</v>
      </c>
      <c r="C217" s="5" t="s">
        <v>16</v>
      </c>
      <c r="D217" s="5" t="s">
        <v>98</v>
      </c>
      <c r="E217" s="5" t="s">
        <v>96</v>
      </c>
      <c r="F217" s="5" t="s">
        <v>97</v>
      </c>
      <c r="G217" s="5" t="s">
        <v>386</v>
      </c>
      <c r="H217" s="14" t="n">
        <v>0.741</v>
      </c>
      <c r="I217" s="14" t="n">
        <v>17.79</v>
      </c>
      <c r="J217" s="0" t="n">
        <v>24</v>
      </c>
      <c r="L217" s="0" t="n">
        <v>4</v>
      </c>
      <c r="M217" s="6" t="n">
        <v>71.16</v>
      </c>
      <c r="N217" s="5" t="s">
        <v>77</v>
      </c>
    </row>
    <row r="218" customFormat="false" ht="15" hidden="false" customHeight="false" outlineLevel="0" collapsed="false">
      <c r="A218" s="4" t="n">
        <v>46007</v>
      </c>
      <c r="B218" s="5" t="s">
        <v>22</v>
      </c>
      <c r="C218" s="5" t="s">
        <v>16</v>
      </c>
      <c r="D218" s="5" t="s">
        <v>98</v>
      </c>
      <c r="E218" s="5" t="s">
        <v>122</v>
      </c>
      <c r="F218" s="5" t="s">
        <v>123</v>
      </c>
      <c r="G218" s="5" t="s">
        <v>386</v>
      </c>
      <c r="H218" s="14" t="n">
        <v>1.903</v>
      </c>
      <c r="I218" s="14" t="n">
        <v>11.42</v>
      </c>
      <c r="J218" s="0" t="n">
        <v>6</v>
      </c>
      <c r="L218" s="0" t="n">
        <v>7</v>
      </c>
      <c r="M218" s="6" t="n">
        <v>79.94</v>
      </c>
      <c r="N218" s="5" t="s">
        <v>77</v>
      </c>
    </row>
    <row r="219" customFormat="false" ht="15" hidden="false" customHeight="false" outlineLevel="0" collapsed="false">
      <c r="A219" s="4" t="n">
        <v>46007</v>
      </c>
      <c r="B219" s="5" t="s">
        <v>22</v>
      </c>
      <c r="C219" s="5" t="s">
        <v>16</v>
      </c>
      <c r="D219" s="5" t="s">
        <v>98</v>
      </c>
      <c r="E219" s="5" t="s">
        <v>128</v>
      </c>
      <c r="F219" s="5" t="s">
        <v>129</v>
      </c>
      <c r="G219" s="5" t="s">
        <v>78</v>
      </c>
      <c r="H219" s="14" t="n">
        <v>15.19</v>
      </c>
      <c r="I219" s="14" t="n">
        <v>15.19</v>
      </c>
      <c r="J219" s="0" t="n">
        <v>1</v>
      </c>
      <c r="L219" s="0" t="n">
        <v>2</v>
      </c>
      <c r="M219" s="6" t="n">
        <v>30.38</v>
      </c>
      <c r="N219" s="5" t="s">
        <v>115</v>
      </c>
    </row>
    <row r="220" customFormat="false" ht="15" hidden="false" customHeight="false" outlineLevel="0" collapsed="false">
      <c r="A220" s="4" t="n">
        <v>46007</v>
      </c>
      <c r="B220" s="5" t="s">
        <v>22</v>
      </c>
      <c r="C220" s="5" t="s">
        <v>16</v>
      </c>
      <c r="D220" s="5" t="s">
        <v>81</v>
      </c>
      <c r="E220" s="5" t="s">
        <v>189</v>
      </c>
      <c r="F220" s="5" t="s">
        <v>190</v>
      </c>
      <c r="G220" s="5" t="s">
        <v>78</v>
      </c>
      <c r="H220" s="14" t="n">
        <v>2.65</v>
      </c>
      <c r="I220" s="14" t="n">
        <v>2.65</v>
      </c>
      <c r="J220" s="0" t="n">
        <v>1</v>
      </c>
      <c r="L220" s="0" t="n">
        <v>12</v>
      </c>
      <c r="M220" s="6" t="n">
        <v>31.8</v>
      </c>
      <c r="N220" s="5" t="s">
        <v>77</v>
      </c>
    </row>
    <row r="221" customFormat="false" ht="15" hidden="false" customHeight="false" outlineLevel="0" collapsed="false">
      <c r="A221" s="4" t="n">
        <v>46007</v>
      </c>
      <c r="B221" s="5" t="s">
        <v>22</v>
      </c>
      <c r="C221" s="5" t="s">
        <v>16</v>
      </c>
      <c r="D221" s="5" t="s">
        <v>81</v>
      </c>
      <c r="E221" s="5" t="s">
        <v>186</v>
      </c>
      <c r="F221" s="5" t="s">
        <v>187</v>
      </c>
      <c r="G221" s="5" t="s">
        <v>386</v>
      </c>
      <c r="H221" s="14" t="n">
        <v>0.872</v>
      </c>
      <c r="I221" s="14" t="n">
        <v>5.23</v>
      </c>
      <c r="J221" s="0" t="n">
        <v>6</v>
      </c>
      <c r="L221" s="0" t="n">
        <v>21</v>
      </c>
      <c r="M221" s="6" t="n">
        <v>109.83</v>
      </c>
      <c r="N221" s="5" t="s">
        <v>77</v>
      </c>
    </row>
    <row r="222" customFormat="false" ht="15" hidden="false" customHeight="false" outlineLevel="0" collapsed="false">
      <c r="A222" s="4" t="n">
        <v>46007</v>
      </c>
      <c r="B222" s="5" t="s">
        <v>22</v>
      </c>
      <c r="C222" s="5" t="s">
        <v>16</v>
      </c>
      <c r="D222" s="5" t="s">
        <v>160</v>
      </c>
      <c r="E222" s="5" t="s">
        <v>197</v>
      </c>
      <c r="F222" s="5" t="s">
        <v>198</v>
      </c>
      <c r="G222" s="5" t="s">
        <v>78</v>
      </c>
      <c r="H222" s="14" t="n">
        <v>1.32</v>
      </c>
      <c r="I222" s="14" t="n">
        <v>1.32</v>
      </c>
      <c r="J222" s="0" t="n">
        <v>1</v>
      </c>
      <c r="L222" s="0" t="n">
        <v>4</v>
      </c>
      <c r="M222" s="6" t="n">
        <v>5.28</v>
      </c>
      <c r="N222" s="5" t="s">
        <v>115</v>
      </c>
    </row>
    <row r="223" customFormat="false" ht="15" hidden="false" customHeight="false" outlineLevel="0" collapsed="false">
      <c r="A223" s="4" t="n">
        <v>46007</v>
      </c>
      <c r="B223" s="5" t="s">
        <v>22</v>
      </c>
      <c r="C223" s="5" t="s">
        <v>16</v>
      </c>
      <c r="D223" s="5" t="s">
        <v>160</v>
      </c>
      <c r="E223" s="5" t="s">
        <v>172</v>
      </c>
      <c r="F223" s="5" t="s">
        <v>173</v>
      </c>
      <c r="G223" s="5" t="s">
        <v>78</v>
      </c>
      <c r="H223" s="14" t="n">
        <v>10.48</v>
      </c>
      <c r="I223" s="14" t="n">
        <v>10.48</v>
      </c>
      <c r="J223" s="0" t="n">
        <v>1</v>
      </c>
      <c r="L223" s="0" t="n">
        <v>4</v>
      </c>
      <c r="M223" s="6" t="n">
        <v>41.92</v>
      </c>
      <c r="N223" s="5" t="s">
        <v>115</v>
      </c>
    </row>
    <row r="224" customFormat="false" ht="15" hidden="false" customHeight="false" outlineLevel="0" collapsed="false">
      <c r="A224" s="4" t="n">
        <v>46007</v>
      </c>
      <c r="B224" s="5" t="s">
        <v>22</v>
      </c>
      <c r="C224" s="5" t="s">
        <v>16</v>
      </c>
      <c r="D224" s="5" t="s">
        <v>160</v>
      </c>
      <c r="E224" s="5" t="s">
        <v>165</v>
      </c>
      <c r="F224" s="5" t="s">
        <v>166</v>
      </c>
      <c r="G224" s="5" t="s">
        <v>78</v>
      </c>
      <c r="H224" s="14" t="n">
        <v>7.26</v>
      </c>
      <c r="I224" s="14" t="n">
        <v>7.26</v>
      </c>
      <c r="J224" s="0" t="n">
        <v>1</v>
      </c>
      <c r="L224" s="0" t="n">
        <v>4</v>
      </c>
      <c r="M224" s="6" t="n">
        <v>29.04</v>
      </c>
      <c r="N224" s="5" t="s">
        <v>115</v>
      </c>
    </row>
    <row r="225" customFormat="false" ht="15" hidden="false" customHeight="false" outlineLevel="0" collapsed="false">
      <c r="A225" s="21" t="n">
        <v>46007</v>
      </c>
      <c r="B225" s="22" t="s">
        <v>22</v>
      </c>
      <c r="C225" s="22" t="s">
        <v>16</v>
      </c>
      <c r="D225" s="22" t="s">
        <v>160</v>
      </c>
      <c r="E225" s="22" t="s">
        <v>167</v>
      </c>
      <c r="F225" s="22" t="s">
        <v>168</v>
      </c>
      <c r="G225" s="22" t="s">
        <v>78</v>
      </c>
      <c r="H225" s="16" t="n">
        <v>7.7</v>
      </c>
      <c r="I225" s="16" t="n">
        <v>7.7</v>
      </c>
      <c r="J225" s="22" t="n">
        <v>1</v>
      </c>
      <c r="K225" s="22"/>
      <c r="L225" s="22" t="n">
        <v>1</v>
      </c>
      <c r="M225" s="23" t="n">
        <v>7.7</v>
      </c>
      <c r="N225" s="22" t="s">
        <v>115</v>
      </c>
      <c r="O225" s="22" t="s">
        <v>387</v>
      </c>
    </row>
    <row r="226" customFormat="false" ht="15" hidden="false" customHeight="false" outlineLevel="0" collapsed="false">
      <c r="A226" s="4" t="n">
        <v>46007</v>
      </c>
      <c r="B226" s="5" t="s">
        <v>22</v>
      </c>
      <c r="C226" s="5" t="s">
        <v>16</v>
      </c>
      <c r="D226" s="5" t="s">
        <v>160</v>
      </c>
      <c r="E226" s="5" t="s">
        <v>206</v>
      </c>
      <c r="F226" s="5" t="s">
        <v>207</v>
      </c>
      <c r="G226" s="5" t="s">
        <v>78</v>
      </c>
      <c r="H226" s="14" t="n">
        <v>6.69</v>
      </c>
      <c r="I226" s="14" t="n">
        <v>6.69</v>
      </c>
      <c r="J226" s="0" t="n">
        <v>1</v>
      </c>
      <c r="L226" s="0" t="n">
        <v>1</v>
      </c>
      <c r="M226" s="6" t="n">
        <v>6.69</v>
      </c>
      <c r="N226" s="5" t="s">
        <v>115</v>
      </c>
    </row>
    <row r="227" customFormat="false" ht="15" hidden="false" customHeight="false" outlineLevel="0" collapsed="false">
      <c r="A227" s="4" t="n">
        <v>46037</v>
      </c>
      <c r="B227" s="5" t="s">
        <v>23</v>
      </c>
      <c r="C227" s="5" t="s">
        <v>12</v>
      </c>
      <c r="E227" s="5" t="s">
        <v>363</v>
      </c>
      <c r="F227" s="5" t="s">
        <v>364</v>
      </c>
      <c r="G227" s="5" t="s">
        <v>78</v>
      </c>
      <c r="H227" s="14" t="n">
        <v>10.37</v>
      </c>
      <c r="I227" s="14" t="n">
        <v>10.37</v>
      </c>
      <c r="J227" s="0" t="n">
        <v>1</v>
      </c>
      <c r="L227" s="0" t="n">
        <v>2</v>
      </c>
      <c r="M227" s="6" t="n">
        <v>20.74</v>
      </c>
      <c r="N227" s="5" t="s">
        <v>77</v>
      </c>
    </row>
    <row r="228" customFormat="false" ht="15" hidden="false" customHeight="false" outlineLevel="0" collapsed="false">
      <c r="A228" s="4" t="n">
        <v>46037</v>
      </c>
      <c r="B228" s="5" t="s">
        <v>23</v>
      </c>
      <c r="C228" s="5" t="s">
        <v>12</v>
      </c>
      <c r="D228" s="5" t="s">
        <v>289</v>
      </c>
      <c r="E228" s="5" t="s">
        <v>296</v>
      </c>
      <c r="F228" s="5" t="s">
        <v>297</v>
      </c>
      <c r="G228" s="5" t="s">
        <v>78</v>
      </c>
      <c r="H228" s="14" t="n">
        <v>6.3</v>
      </c>
      <c r="I228" s="14" t="n">
        <v>6.3</v>
      </c>
      <c r="J228" s="0" t="n">
        <v>1</v>
      </c>
      <c r="L228" s="0" t="n">
        <v>4</v>
      </c>
      <c r="M228" s="6" t="n">
        <v>25.2</v>
      </c>
      <c r="N228" s="5" t="s">
        <v>77</v>
      </c>
    </row>
    <row r="229" customFormat="false" ht="15" hidden="false" customHeight="false" outlineLevel="0" collapsed="false">
      <c r="A229" s="4" t="n">
        <v>46037</v>
      </c>
      <c r="B229" s="5" t="s">
        <v>23</v>
      </c>
      <c r="C229" s="5" t="s">
        <v>12</v>
      </c>
      <c r="D229" s="5" t="s">
        <v>289</v>
      </c>
      <c r="E229" s="5" t="s">
        <v>292</v>
      </c>
      <c r="F229" s="5" t="s">
        <v>293</v>
      </c>
      <c r="G229" s="5" t="s">
        <v>78</v>
      </c>
      <c r="H229" s="14" t="n">
        <v>7.05</v>
      </c>
      <c r="I229" s="14" t="n">
        <v>7.05</v>
      </c>
      <c r="J229" s="0" t="n">
        <v>1</v>
      </c>
      <c r="L229" s="0" t="n">
        <v>2</v>
      </c>
      <c r="M229" s="6" t="n">
        <v>14.1</v>
      </c>
      <c r="N229" s="5" t="s">
        <v>77</v>
      </c>
    </row>
    <row r="230" customFormat="false" ht="15" hidden="false" customHeight="false" outlineLevel="0" collapsed="false">
      <c r="A230" s="4" t="n">
        <v>46037</v>
      </c>
      <c r="B230" s="5" t="s">
        <v>23</v>
      </c>
      <c r="C230" s="5" t="s">
        <v>12</v>
      </c>
      <c r="D230" s="5" t="s">
        <v>81</v>
      </c>
      <c r="E230" s="5" t="s">
        <v>317</v>
      </c>
      <c r="F230" s="5" t="s">
        <v>318</v>
      </c>
      <c r="G230" s="5" t="s">
        <v>78</v>
      </c>
      <c r="H230" s="14" t="n">
        <v>5.76</v>
      </c>
      <c r="I230" s="14" t="n">
        <v>5.76</v>
      </c>
      <c r="J230" s="0" t="n">
        <v>1</v>
      </c>
      <c r="L230" s="0" t="n">
        <v>5</v>
      </c>
      <c r="M230" s="6" t="n">
        <v>28.8</v>
      </c>
      <c r="N230" s="5" t="s">
        <v>77</v>
      </c>
    </row>
    <row r="231" customFormat="false" ht="15" hidden="false" customHeight="false" outlineLevel="0" collapsed="false">
      <c r="A231" s="4" t="n">
        <v>46037</v>
      </c>
      <c r="B231" s="5" t="s">
        <v>23</v>
      </c>
      <c r="C231" s="5" t="s">
        <v>12</v>
      </c>
      <c r="D231" s="5" t="s">
        <v>81</v>
      </c>
      <c r="E231" s="5" t="s">
        <v>191</v>
      </c>
      <c r="F231" s="5" t="s">
        <v>192</v>
      </c>
      <c r="G231" s="5" t="s">
        <v>78</v>
      </c>
      <c r="H231" s="14" t="n">
        <v>15.97</v>
      </c>
      <c r="I231" s="14" t="n">
        <v>15.97</v>
      </c>
      <c r="J231" s="0" t="n">
        <v>1</v>
      </c>
      <c r="L231" s="0" t="n">
        <v>2</v>
      </c>
      <c r="M231" s="6" t="n">
        <v>31.94</v>
      </c>
      <c r="N231" s="5" t="s">
        <v>77</v>
      </c>
    </row>
    <row r="232" customFormat="false" ht="15" hidden="false" customHeight="false" outlineLevel="0" collapsed="false">
      <c r="A232" s="4" t="n">
        <v>46037</v>
      </c>
      <c r="B232" s="5" t="s">
        <v>23</v>
      </c>
      <c r="C232" s="5" t="s">
        <v>12</v>
      </c>
      <c r="D232" s="5" t="s">
        <v>81</v>
      </c>
      <c r="E232" s="5" t="s">
        <v>183</v>
      </c>
      <c r="F232" s="5" t="s">
        <v>184</v>
      </c>
      <c r="G232" s="5" t="s">
        <v>386</v>
      </c>
      <c r="H232" s="14" t="n">
        <v>1.965</v>
      </c>
      <c r="I232" s="14" t="n">
        <v>11.79</v>
      </c>
      <c r="J232" s="0" t="n">
        <v>6</v>
      </c>
      <c r="L232" s="0" t="n">
        <v>7</v>
      </c>
      <c r="M232" s="6" t="n">
        <v>82.53</v>
      </c>
      <c r="N232" s="5" t="s">
        <v>77</v>
      </c>
    </row>
    <row r="233" customFormat="false" ht="15" hidden="false" customHeight="false" outlineLevel="0" collapsed="false">
      <c r="A233" s="4" t="n">
        <v>46037</v>
      </c>
      <c r="B233" s="5" t="s">
        <v>23</v>
      </c>
      <c r="C233" s="5" t="s">
        <v>12</v>
      </c>
      <c r="D233" s="5" t="s">
        <v>323</v>
      </c>
      <c r="E233" s="5" t="s">
        <v>321</v>
      </c>
      <c r="F233" s="5" t="s">
        <v>322</v>
      </c>
      <c r="G233" s="5" t="s">
        <v>78</v>
      </c>
      <c r="H233" s="14" t="n">
        <v>2.61</v>
      </c>
      <c r="I233" s="14" t="n">
        <v>2.61</v>
      </c>
      <c r="J233" s="0" t="n">
        <v>1</v>
      </c>
      <c r="L233" s="0" t="n">
        <v>11</v>
      </c>
      <c r="M233" s="6" t="n">
        <v>28.71</v>
      </c>
      <c r="N233" s="5" t="s">
        <v>77</v>
      </c>
    </row>
    <row r="234" customFormat="false" ht="15" hidden="false" customHeight="false" outlineLevel="0" collapsed="false">
      <c r="A234" s="4" t="n">
        <v>46037</v>
      </c>
      <c r="B234" s="5" t="s">
        <v>23</v>
      </c>
      <c r="C234" s="5" t="s">
        <v>12</v>
      </c>
      <c r="D234" s="5" t="s">
        <v>323</v>
      </c>
      <c r="E234" s="5" t="s">
        <v>324</v>
      </c>
      <c r="F234" s="5" t="s">
        <v>325</v>
      </c>
      <c r="G234" s="5" t="s">
        <v>78</v>
      </c>
      <c r="H234" s="14" t="n">
        <v>2.59</v>
      </c>
      <c r="I234" s="14" t="n">
        <v>2.59</v>
      </c>
      <c r="J234" s="0" t="n">
        <v>1</v>
      </c>
      <c r="L234" s="0" t="n">
        <v>50</v>
      </c>
      <c r="M234" s="6" t="n">
        <v>129.5</v>
      </c>
      <c r="N234" s="5" t="s">
        <v>77</v>
      </c>
    </row>
    <row r="235" customFormat="false" ht="15" hidden="false" customHeight="false" outlineLevel="0" collapsed="false">
      <c r="A235" s="4" t="n">
        <v>46037</v>
      </c>
      <c r="B235" s="5" t="s">
        <v>23</v>
      </c>
      <c r="C235" s="5" t="s">
        <v>12</v>
      </c>
      <c r="D235" s="5" t="s">
        <v>348</v>
      </c>
      <c r="E235" s="5" t="s">
        <v>346</v>
      </c>
      <c r="F235" s="5" t="s">
        <v>347</v>
      </c>
      <c r="G235" s="5" t="s">
        <v>78</v>
      </c>
      <c r="H235" s="14" t="n">
        <v>6.6</v>
      </c>
      <c r="I235" s="14" t="n">
        <v>6.6</v>
      </c>
      <c r="J235" s="0" t="n">
        <v>1</v>
      </c>
      <c r="L235" s="0" t="n">
        <v>5</v>
      </c>
      <c r="M235" s="6" t="n">
        <v>33</v>
      </c>
      <c r="N235" s="5" t="s">
        <v>77</v>
      </c>
    </row>
    <row r="236" customFormat="false" ht="15" hidden="false" customHeight="false" outlineLevel="0" collapsed="false">
      <c r="A236" s="4" t="n">
        <v>46037</v>
      </c>
      <c r="B236" s="5" t="s">
        <v>23</v>
      </c>
      <c r="C236" s="5" t="s">
        <v>12</v>
      </c>
      <c r="D236" s="5" t="s">
        <v>280</v>
      </c>
      <c r="E236" s="5" t="s">
        <v>278</v>
      </c>
      <c r="F236" s="5" t="s">
        <v>279</v>
      </c>
      <c r="G236" s="5" t="s">
        <v>78</v>
      </c>
      <c r="H236" s="14" t="n">
        <v>0.99</v>
      </c>
      <c r="I236" s="14" t="n">
        <v>0.99</v>
      </c>
      <c r="J236" s="0" t="n">
        <v>1</v>
      </c>
      <c r="L236" s="0" t="n">
        <v>7</v>
      </c>
      <c r="M236" s="6" t="n">
        <v>6.93</v>
      </c>
      <c r="N236" s="5" t="s">
        <v>77</v>
      </c>
    </row>
    <row r="237" customFormat="false" ht="15" hidden="false" customHeight="false" outlineLevel="0" collapsed="false">
      <c r="A237" s="4" t="n">
        <v>46037</v>
      </c>
      <c r="B237" s="5" t="s">
        <v>23</v>
      </c>
      <c r="C237" s="5" t="s">
        <v>12</v>
      </c>
      <c r="D237" s="5" t="s">
        <v>280</v>
      </c>
      <c r="E237" s="5" t="s">
        <v>285</v>
      </c>
      <c r="F237" s="5" t="s">
        <v>286</v>
      </c>
      <c r="G237" s="5" t="s">
        <v>78</v>
      </c>
      <c r="H237" s="14" t="n">
        <v>2.49</v>
      </c>
      <c r="I237" s="14" t="n">
        <v>2.49</v>
      </c>
      <c r="J237" s="0" t="n">
        <v>1</v>
      </c>
      <c r="L237" s="0" t="n">
        <v>5</v>
      </c>
      <c r="M237" s="6" t="n">
        <v>12.45</v>
      </c>
      <c r="N237" s="5" t="s">
        <v>77</v>
      </c>
    </row>
    <row r="238" customFormat="false" ht="15" hidden="false" customHeight="false" outlineLevel="0" collapsed="false">
      <c r="A238" s="4" t="n">
        <v>46038</v>
      </c>
      <c r="B238" s="5" t="s">
        <v>24</v>
      </c>
      <c r="C238" s="5" t="s">
        <v>12</v>
      </c>
      <c r="E238" s="5" t="s">
        <v>353</v>
      </c>
      <c r="F238" s="5" t="s">
        <v>354</v>
      </c>
      <c r="G238" s="5" t="s">
        <v>78</v>
      </c>
      <c r="H238" s="14" t="n">
        <v>8.25</v>
      </c>
      <c r="I238" s="14" t="n">
        <v>8.25</v>
      </c>
      <c r="J238" s="0" t="n">
        <v>1</v>
      </c>
      <c r="L238" s="0" t="n">
        <v>2</v>
      </c>
      <c r="M238" s="6" t="n">
        <v>16.5</v>
      </c>
      <c r="N238" s="5" t="s">
        <v>115</v>
      </c>
    </row>
    <row r="239" customFormat="false" ht="15" hidden="false" customHeight="false" outlineLevel="0" collapsed="false">
      <c r="A239" s="4" t="n">
        <v>46038</v>
      </c>
      <c r="B239" s="5" t="s">
        <v>24</v>
      </c>
      <c r="C239" s="5" t="s">
        <v>12</v>
      </c>
      <c r="E239" s="5" t="s">
        <v>351</v>
      </c>
      <c r="F239" s="5" t="s">
        <v>352</v>
      </c>
      <c r="G239" s="5" t="s">
        <v>78</v>
      </c>
      <c r="H239" s="14" t="n">
        <v>7.25</v>
      </c>
      <c r="I239" s="14" t="n">
        <v>7.25</v>
      </c>
      <c r="J239" s="0" t="n">
        <v>1</v>
      </c>
      <c r="L239" s="0" t="n">
        <v>2</v>
      </c>
      <c r="M239" s="6" t="n">
        <v>14.5</v>
      </c>
      <c r="N239" s="5" t="s">
        <v>115</v>
      </c>
    </row>
    <row r="240" customFormat="false" ht="15" hidden="false" customHeight="false" outlineLevel="0" collapsed="false">
      <c r="A240" s="4" t="n">
        <v>46038</v>
      </c>
      <c r="B240" s="5" t="s">
        <v>24</v>
      </c>
      <c r="C240" s="5" t="s">
        <v>12</v>
      </c>
      <c r="D240" s="5" t="s">
        <v>339</v>
      </c>
      <c r="E240" s="5" t="s">
        <v>337</v>
      </c>
      <c r="F240" s="5" t="s">
        <v>338</v>
      </c>
      <c r="G240" s="5" t="s">
        <v>386</v>
      </c>
      <c r="H240" s="14" t="n">
        <v>1.549</v>
      </c>
      <c r="I240" s="14" t="n">
        <v>15.49</v>
      </c>
      <c r="J240" s="0" t="n">
        <v>10</v>
      </c>
      <c r="L240" s="0" t="n">
        <v>1</v>
      </c>
      <c r="M240" s="6" t="n">
        <v>15.49</v>
      </c>
      <c r="N240" s="5" t="s">
        <v>115</v>
      </c>
    </row>
    <row r="241" customFormat="false" ht="15" hidden="false" customHeight="false" outlineLevel="0" collapsed="false">
      <c r="A241" s="4" t="n">
        <v>46038</v>
      </c>
      <c r="B241" s="5" t="s">
        <v>24</v>
      </c>
      <c r="C241" s="5" t="s">
        <v>12</v>
      </c>
      <c r="D241" s="5" t="s">
        <v>182</v>
      </c>
      <c r="E241" s="5" t="s">
        <v>180</v>
      </c>
      <c r="F241" s="5" t="s">
        <v>181</v>
      </c>
      <c r="G241" s="5" t="s">
        <v>386</v>
      </c>
      <c r="H241" s="14" t="n">
        <v>1.442</v>
      </c>
      <c r="I241" s="14" t="n">
        <v>8.65</v>
      </c>
      <c r="J241" s="0" t="n">
        <v>6</v>
      </c>
      <c r="L241" s="0" t="n">
        <v>2</v>
      </c>
      <c r="M241" s="6" t="n">
        <v>17.3</v>
      </c>
      <c r="N241" s="5" t="s">
        <v>77</v>
      </c>
    </row>
    <row r="242" customFormat="false" ht="15" hidden="false" customHeight="false" outlineLevel="0" collapsed="false">
      <c r="A242" s="4" t="n">
        <v>46038</v>
      </c>
      <c r="B242" s="5" t="s">
        <v>24</v>
      </c>
      <c r="C242" s="5" t="s">
        <v>12</v>
      </c>
      <c r="D242" s="5" t="s">
        <v>182</v>
      </c>
      <c r="E242" s="5" t="s">
        <v>272</v>
      </c>
      <c r="F242" s="5" t="s">
        <v>273</v>
      </c>
      <c r="G242" s="5" t="s">
        <v>386</v>
      </c>
      <c r="H242" s="14" t="n">
        <v>1.852</v>
      </c>
      <c r="I242" s="14" t="n">
        <v>22.22</v>
      </c>
      <c r="J242" s="0" t="n">
        <v>12</v>
      </c>
      <c r="L242" s="0" t="n">
        <v>1</v>
      </c>
      <c r="M242" s="6" t="n">
        <v>22.22</v>
      </c>
      <c r="N242" s="5" t="s">
        <v>77</v>
      </c>
    </row>
    <row r="243" customFormat="false" ht="15" hidden="false" customHeight="false" outlineLevel="0" collapsed="false">
      <c r="A243" s="4" t="n">
        <v>46076</v>
      </c>
      <c r="B243" s="5" t="s">
        <v>25</v>
      </c>
      <c r="C243" s="5" t="s">
        <v>14</v>
      </c>
      <c r="E243" s="5" t="s">
        <v>128</v>
      </c>
      <c r="F243" s="5" t="s">
        <v>129</v>
      </c>
      <c r="G243" s="5" t="s">
        <v>78</v>
      </c>
      <c r="H243" s="14" t="n">
        <v>15.19</v>
      </c>
      <c r="I243" s="14" t="n">
        <v>15.19</v>
      </c>
      <c r="J243" s="0" t="n">
        <v>1</v>
      </c>
      <c r="L243" s="0" t="n">
        <v>1</v>
      </c>
      <c r="M243" s="6" t="n">
        <v>15.19</v>
      </c>
      <c r="N243" s="5" t="s">
        <v>115</v>
      </c>
    </row>
    <row r="244" customFormat="false" ht="15" hidden="false" customHeight="false" outlineLevel="0" collapsed="false">
      <c r="A244" s="21" t="n">
        <v>46083</v>
      </c>
      <c r="B244" s="22" t="s">
        <v>26</v>
      </c>
      <c r="C244" s="22" t="s">
        <v>12</v>
      </c>
      <c r="D244" s="22"/>
      <c r="E244" s="22" t="s">
        <v>152</v>
      </c>
      <c r="F244" s="22" t="s">
        <v>153</v>
      </c>
      <c r="G244" s="22" t="s">
        <v>386</v>
      </c>
      <c r="H244" s="16" t="n">
        <v>0.51</v>
      </c>
      <c r="I244" s="16" t="n">
        <v>12.23</v>
      </c>
      <c r="J244" s="22" t="n">
        <v>24</v>
      </c>
      <c r="K244" s="22"/>
      <c r="L244" s="22" t="n">
        <v>1</v>
      </c>
      <c r="M244" s="23" t="n">
        <v>12.23</v>
      </c>
      <c r="N244" s="22" t="s">
        <v>77</v>
      </c>
      <c r="O244" s="22" t="s">
        <v>387</v>
      </c>
    </row>
    <row r="245" customFormat="false" ht="15" hidden="false" customHeight="false" outlineLevel="0" collapsed="false">
      <c r="A245" s="4" t="n">
        <v>46083</v>
      </c>
      <c r="B245" s="5" t="s">
        <v>26</v>
      </c>
      <c r="C245" s="5" t="s">
        <v>12</v>
      </c>
      <c r="E245" s="5" t="s">
        <v>105</v>
      </c>
      <c r="F245" s="5" t="s">
        <v>106</v>
      </c>
      <c r="G245" s="5" t="s">
        <v>386</v>
      </c>
      <c r="H245" s="14" t="n">
        <v>0.583</v>
      </c>
      <c r="I245" s="14" t="n">
        <v>13.99</v>
      </c>
      <c r="J245" s="0" t="n">
        <v>24</v>
      </c>
      <c r="L245" s="0" t="n">
        <v>2</v>
      </c>
      <c r="M245" s="6" t="n">
        <v>27.98</v>
      </c>
      <c r="N245" s="5" t="s">
        <v>77</v>
      </c>
    </row>
    <row r="246" customFormat="false" ht="15" hidden="false" customHeight="false" outlineLevel="0" collapsed="false">
      <c r="A246" s="4" t="n">
        <v>46083</v>
      </c>
      <c r="B246" s="5" t="s">
        <v>26</v>
      </c>
      <c r="C246" s="5" t="s">
        <v>12</v>
      </c>
      <c r="E246" s="5" t="s">
        <v>101</v>
      </c>
      <c r="F246" s="5" t="s">
        <v>102</v>
      </c>
      <c r="G246" s="5" t="s">
        <v>386</v>
      </c>
      <c r="H246" s="14" t="n">
        <v>0.802</v>
      </c>
      <c r="I246" s="14" t="n">
        <v>19.25</v>
      </c>
      <c r="J246" s="0" t="n">
        <v>24</v>
      </c>
      <c r="L246" s="0" t="n">
        <v>2</v>
      </c>
      <c r="M246" s="6" t="n">
        <v>38.5</v>
      </c>
      <c r="N246" s="5" t="s">
        <v>77</v>
      </c>
    </row>
    <row r="247" customFormat="false" ht="15" hidden="false" customHeight="false" outlineLevel="0" collapsed="false">
      <c r="A247" s="21" t="n">
        <v>46083</v>
      </c>
      <c r="B247" s="22" t="s">
        <v>26</v>
      </c>
      <c r="C247" s="22" t="s">
        <v>12</v>
      </c>
      <c r="D247" s="22"/>
      <c r="E247" s="22" t="s">
        <v>148</v>
      </c>
      <c r="F247" s="22" t="s">
        <v>149</v>
      </c>
      <c r="G247" s="22" t="s">
        <v>386</v>
      </c>
      <c r="H247" s="16" t="n">
        <v>0.422</v>
      </c>
      <c r="I247" s="16" t="n">
        <v>10.13</v>
      </c>
      <c r="J247" s="22" t="n">
        <v>24</v>
      </c>
      <c r="K247" s="22"/>
      <c r="L247" s="22" t="n">
        <v>5</v>
      </c>
      <c r="M247" s="23" t="n">
        <v>50.65</v>
      </c>
      <c r="N247" s="22" t="s">
        <v>77</v>
      </c>
      <c r="O247" s="22" t="s">
        <v>387</v>
      </c>
    </row>
    <row r="248" customFormat="false" ht="15" hidden="false" customHeight="false" outlineLevel="0" collapsed="false">
      <c r="A248" s="21" t="n">
        <v>46083</v>
      </c>
      <c r="B248" s="22" t="s">
        <v>26</v>
      </c>
      <c r="C248" s="22" t="s">
        <v>12</v>
      </c>
      <c r="D248" s="22"/>
      <c r="E248" s="22" t="s">
        <v>146</v>
      </c>
      <c r="F248" s="22" t="s">
        <v>147</v>
      </c>
      <c r="G248" s="22" t="s">
        <v>386</v>
      </c>
      <c r="H248" s="16" t="n">
        <v>0.455</v>
      </c>
      <c r="I248" s="16" t="n">
        <v>10.93</v>
      </c>
      <c r="J248" s="22" t="n">
        <v>24</v>
      </c>
      <c r="K248" s="22"/>
      <c r="L248" s="22" t="n">
        <v>2</v>
      </c>
      <c r="M248" s="23" t="n">
        <v>21.86</v>
      </c>
      <c r="N248" s="22" t="s">
        <v>77</v>
      </c>
      <c r="O248" s="22" t="s">
        <v>387</v>
      </c>
    </row>
    <row r="249" customFormat="false" ht="15" hidden="false" customHeight="false" outlineLevel="0" collapsed="false">
      <c r="A249" s="21" t="n">
        <v>46083</v>
      </c>
      <c r="B249" s="22" t="s">
        <v>26</v>
      </c>
      <c r="C249" s="22" t="s">
        <v>12</v>
      </c>
      <c r="D249" s="22"/>
      <c r="E249" s="22" t="s">
        <v>86</v>
      </c>
      <c r="F249" s="22" t="s">
        <v>87</v>
      </c>
      <c r="G249" s="22" t="s">
        <v>386</v>
      </c>
      <c r="H249" s="16" t="n">
        <v>1.228</v>
      </c>
      <c r="I249" s="16" t="n">
        <v>14.73</v>
      </c>
      <c r="J249" s="22" t="n">
        <v>12</v>
      </c>
      <c r="K249" s="22"/>
      <c r="L249" s="22" t="n">
        <v>2</v>
      </c>
      <c r="M249" s="23" t="n">
        <v>29.46</v>
      </c>
      <c r="N249" s="22" t="s">
        <v>77</v>
      </c>
      <c r="O249" s="22" t="s">
        <v>387</v>
      </c>
    </row>
    <row r="250" customFormat="false" ht="15" hidden="false" customHeight="false" outlineLevel="0" collapsed="false">
      <c r="A250" s="21" t="n">
        <v>46083</v>
      </c>
      <c r="B250" s="22" t="s">
        <v>26</v>
      </c>
      <c r="C250" s="22" t="s">
        <v>12</v>
      </c>
      <c r="D250" s="22"/>
      <c r="E250" s="22" t="s">
        <v>88</v>
      </c>
      <c r="F250" s="22" t="s">
        <v>89</v>
      </c>
      <c r="G250" s="22" t="s">
        <v>386</v>
      </c>
      <c r="H250" s="16" t="n">
        <v>1.073</v>
      </c>
      <c r="I250" s="16" t="n">
        <v>12.88</v>
      </c>
      <c r="J250" s="22" t="n">
        <v>12</v>
      </c>
      <c r="K250" s="22"/>
      <c r="L250" s="22" t="n">
        <v>1</v>
      </c>
      <c r="M250" s="23" t="n">
        <v>12.88</v>
      </c>
      <c r="N250" s="22" t="s">
        <v>77</v>
      </c>
      <c r="O250" s="22" t="s">
        <v>387</v>
      </c>
    </row>
    <row r="251" customFormat="false" ht="15" hidden="false" customHeight="false" outlineLevel="0" collapsed="false">
      <c r="A251" s="21" t="n">
        <v>46083</v>
      </c>
      <c r="B251" s="22" t="s">
        <v>26</v>
      </c>
      <c r="C251" s="22" t="s">
        <v>12</v>
      </c>
      <c r="D251" s="22"/>
      <c r="E251" s="22" t="s">
        <v>109</v>
      </c>
      <c r="F251" s="22" t="s">
        <v>110</v>
      </c>
      <c r="G251" s="22" t="s">
        <v>386</v>
      </c>
      <c r="H251" s="16" t="n">
        <v>0.448</v>
      </c>
      <c r="I251" s="16" t="n">
        <v>10.76</v>
      </c>
      <c r="J251" s="22" t="n">
        <v>24</v>
      </c>
      <c r="K251" s="22"/>
      <c r="L251" s="22" t="n">
        <v>2</v>
      </c>
      <c r="M251" s="23" t="n">
        <v>21.52</v>
      </c>
      <c r="N251" s="22" t="s">
        <v>77</v>
      </c>
      <c r="O251" s="22" t="s">
        <v>387</v>
      </c>
    </row>
    <row r="252" customFormat="false" ht="15" hidden="false" customHeight="false" outlineLevel="0" collapsed="false">
      <c r="A252" s="21" t="n">
        <v>46083</v>
      </c>
      <c r="B252" s="22" t="s">
        <v>26</v>
      </c>
      <c r="C252" s="22" t="s">
        <v>12</v>
      </c>
      <c r="D252" s="22"/>
      <c r="E252" s="22" t="s">
        <v>111</v>
      </c>
      <c r="F252" s="22" t="s">
        <v>112</v>
      </c>
      <c r="G252" s="22" t="s">
        <v>386</v>
      </c>
      <c r="H252" s="16" t="n">
        <v>0.516</v>
      </c>
      <c r="I252" s="16" t="n">
        <v>12.38</v>
      </c>
      <c r="J252" s="22" t="n">
        <v>24</v>
      </c>
      <c r="K252" s="22"/>
      <c r="L252" s="22" t="n">
        <v>2</v>
      </c>
      <c r="M252" s="23" t="n">
        <v>24.76</v>
      </c>
      <c r="N252" s="22" t="s">
        <v>77</v>
      </c>
      <c r="O252" s="22" t="s">
        <v>387</v>
      </c>
    </row>
    <row r="253" customFormat="false" ht="15" hidden="false" customHeight="false" outlineLevel="0" collapsed="false">
      <c r="A253" s="21" t="n">
        <v>46083</v>
      </c>
      <c r="B253" s="22" t="s">
        <v>26</v>
      </c>
      <c r="C253" s="22" t="s">
        <v>12</v>
      </c>
      <c r="D253" s="22"/>
      <c r="E253" s="22" t="s">
        <v>90</v>
      </c>
      <c r="F253" s="22" t="s">
        <v>91</v>
      </c>
      <c r="G253" s="22" t="s">
        <v>386</v>
      </c>
      <c r="H253" s="16" t="n">
        <v>0.518</v>
      </c>
      <c r="I253" s="16" t="n">
        <v>12.42</v>
      </c>
      <c r="J253" s="22" t="n">
        <v>24</v>
      </c>
      <c r="K253" s="22"/>
      <c r="L253" s="22" t="n">
        <v>2</v>
      </c>
      <c r="M253" s="23" t="n">
        <v>24.84</v>
      </c>
      <c r="N253" s="22" t="s">
        <v>77</v>
      </c>
      <c r="O253" s="22" t="s">
        <v>387</v>
      </c>
    </row>
    <row r="254" customFormat="false" ht="15" hidden="false" customHeight="false" outlineLevel="0" collapsed="false">
      <c r="A254" s="4" t="n">
        <v>46083</v>
      </c>
      <c r="B254" s="5" t="s">
        <v>26</v>
      </c>
      <c r="C254" s="5" t="s">
        <v>12</v>
      </c>
      <c r="E254" s="5" t="s">
        <v>193</v>
      </c>
      <c r="F254" s="5" t="s">
        <v>194</v>
      </c>
      <c r="G254" s="5" t="s">
        <v>386</v>
      </c>
      <c r="H254" s="14" t="n">
        <v>0.592</v>
      </c>
      <c r="I254" s="14" t="n">
        <v>14.2</v>
      </c>
      <c r="J254" s="0" t="n">
        <v>24</v>
      </c>
      <c r="L254" s="0" t="n">
        <v>2</v>
      </c>
      <c r="M254" s="6" t="n">
        <v>28.4</v>
      </c>
      <c r="N254" s="5" t="s">
        <v>77</v>
      </c>
    </row>
    <row r="255" customFormat="false" ht="15" hidden="false" customHeight="false" outlineLevel="0" collapsed="false">
      <c r="A255" s="4" t="n">
        <v>46083</v>
      </c>
      <c r="B255" s="5" t="s">
        <v>26</v>
      </c>
      <c r="C255" s="5" t="s">
        <v>12</v>
      </c>
      <c r="E255" s="5" t="s">
        <v>134</v>
      </c>
      <c r="F255" s="5" t="s">
        <v>135</v>
      </c>
      <c r="G255" s="5" t="s">
        <v>386</v>
      </c>
      <c r="H255" s="14" t="n">
        <v>0.64</v>
      </c>
      <c r="I255" s="14" t="n">
        <v>15.36</v>
      </c>
      <c r="J255" s="0" t="n">
        <v>24</v>
      </c>
      <c r="L255" s="0" t="n">
        <v>5</v>
      </c>
      <c r="M255" s="6" t="n">
        <v>76.8</v>
      </c>
      <c r="N255" s="5" t="s">
        <v>77</v>
      </c>
    </row>
    <row r="256" customFormat="false" ht="15" hidden="false" customHeight="false" outlineLevel="0" collapsed="false">
      <c r="A256" s="4" t="n">
        <v>46083</v>
      </c>
      <c r="B256" s="5" t="s">
        <v>26</v>
      </c>
      <c r="C256" s="5" t="s">
        <v>12</v>
      </c>
      <c r="E256" s="5" t="s">
        <v>79</v>
      </c>
      <c r="F256" s="5" t="s">
        <v>80</v>
      </c>
      <c r="G256" s="5" t="s">
        <v>386</v>
      </c>
      <c r="H256" s="14" t="n">
        <v>0.53</v>
      </c>
      <c r="I256" s="14" t="n">
        <v>12.72</v>
      </c>
      <c r="J256" s="0" t="n">
        <v>24</v>
      </c>
      <c r="L256" s="0" t="n">
        <v>5</v>
      </c>
      <c r="M256" s="6" t="n">
        <v>63.6</v>
      </c>
      <c r="N256" s="5" t="s">
        <v>77</v>
      </c>
    </row>
    <row r="257" customFormat="false" ht="15" hidden="false" customHeight="false" outlineLevel="0" collapsed="false">
      <c r="A257" s="4" t="n">
        <v>46083</v>
      </c>
      <c r="B257" s="5" t="s">
        <v>26</v>
      </c>
      <c r="C257" s="5" t="s">
        <v>12</v>
      </c>
      <c r="E257" s="5" t="s">
        <v>144</v>
      </c>
      <c r="F257" s="5" t="s">
        <v>145</v>
      </c>
      <c r="G257" s="5" t="s">
        <v>386</v>
      </c>
      <c r="H257" s="14" t="n">
        <v>0.571</v>
      </c>
      <c r="I257" s="14" t="n">
        <v>13.71</v>
      </c>
      <c r="J257" s="0" t="n">
        <v>24</v>
      </c>
      <c r="L257" s="0" t="n">
        <v>1</v>
      </c>
      <c r="M257" s="6" t="n">
        <v>13.71</v>
      </c>
      <c r="N257" s="5" t="s">
        <v>77</v>
      </c>
    </row>
    <row r="258" customFormat="false" ht="15" hidden="false" customHeight="false" outlineLevel="0" collapsed="false">
      <c r="A258" s="4" t="n">
        <v>46083</v>
      </c>
      <c r="B258" s="5" t="s">
        <v>26</v>
      </c>
      <c r="C258" s="5" t="s">
        <v>12</v>
      </c>
      <c r="E258" s="5" t="s">
        <v>142</v>
      </c>
      <c r="F258" s="5" t="s">
        <v>143</v>
      </c>
      <c r="G258" s="5" t="s">
        <v>386</v>
      </c>
      <c r="H258" s="14" t="n">
        <v>0.57</v>
      </c>
      <c r="I258" s="14" t="n">
        <v>13.67</v>
      </c>
      <c r="J258" s="0" t="n">
        <v>24</v>
      </c>
      <c r="L258" s="0" t="n">
        <v>1</v>
      </c>
      <c r="M258" s="6" t="n">
        <v>13.67</v>
      </c>
      <c r="N258" s="5" t="s">
        <v>77</v>
      </c>
    </row>
    <row r="259" customFormat="false" ht="15" hidden="false" customHeight="false" outlineLevel="0" collapsed="false">
      <c r="A259" s="4" t="n">
        <v>46083</v>
      </c>
      <c r="B259" s="5" t="s">
        <v>26</v>
      </c>
      <c r="C259" s="5" t="s">
        <v>12</v>
      </c>
      <c r="E259" s="5" t="s">
        <v>103</v>
      </c>
      <c r="F259" s="5" t="s">
        <v>104</v>
      </c>
      <c r="G259" s="5" t="s">
        <v>386</v>
      </c>
      <c r="H259" s="14" t="n">
        <v>0.614</v>
      </c>
      <c r="I259" s="14" t="n">
        <v>14.73</v>
      </c>
      <c r="J259" s="0" t="n">
        <v>24</v>
      </c>
      <c r="L259" s="0" t="n">
        <v>1</v>
      </c>
      <c r="M259" s="6" t="n">
        <v>14.73</v>
      </c>
      <c r="N259" s="5" t="s">
        <v>77</v>
      </c>
    </row>
    <row r="260" customFormat="false" ht="15" hidden="false" customHeight="false" outlineLevel="0" collapsed="false">
      <c r="A260" s="4" t="n">
        <v>46083</v>
      </c>
      <c r="B260" s="5" t="s">
        <v>26</v>
      </c>
      <c r="C260" s="5" t="s">
        <v>12</v>
      </c>
      <c r="E260" s="5" t="s">
        <v>99</v>
      </c>
      <c r="F260" s="5" t="s">
        <v>100</v>
      </c>
      <c r="G260" s="5" t="s">
        <v>386</v>
      </c>
      <c r="H260" s="14" t="n">
        <v>0.499</v>
      </c>
      <c r="I260" s="14" t="n">
        <v>11.98</v>
      </c>
      <c r="J260" s="0" t="n">
        <v>24</v>
      </c>
      <c r="L260" s="0" t="n">
        <v>2</v>
      </c>
      <c r="M260" s="6" t="n">
        <v>23.96</v>
      </c>
      <c r="N260" s="5" t="s">
        <v>77</v>
      </c>
    </row>
    <row r="261" customFormat="false" ht="15" hidden="false" customHeight="false" outlineLevel="0" collapsed="false">
      <c r="A261" s="4" t="n">
        <v>46083</v>
      </c>
      <c r="B261" s="5" t="s">
        <v>26</v>
      </c>
      <c r="C261" s="5" t="s">
        <v>12</v>
      </c>
      <c r="E261" s="5" t="s">
        <v>140</v>
      </c>
      <c r="F261" s="5" t="s">
        <v>141</v>
      </c>
      <c r="G261" s="5" t="s">
        <v>386</v>
      </c>
      <c r="H261" s="14" t="n">
        <v>0.627</v>
      </c>
      <c r="I261" s="14" t="n">
        <v>15.04</v>
      </c>
      <c r="J261" s="0" t="n">
        <v>24</v>
      </c>
      <c r="L261" s="0" t="n">
        <v>3</v>
      </c>
      <c r="M261" s="6" t="n">
        <v>45.12</v>
      </c>
      <c r="N261" s="5" t="s">
        <v>77</v>
      </c>
    </row>
    <row r="262" customFormat="false" ht="15" hidden="false" customHeight="false" outlineLevel="0" collapsed="false">
      <c r="A262" s="4" t="n">
        <v>46083</v>
      </c>
      <c r="B262" s="5" t="s">
        <v>26</v>
      </c>
      <c r="C262" s="5" t="s">
        <v>12</v>
      </c>
      <c r="E262" s="5" t="s">
        <v>107</v>
      </c>
      <c r="F262" s="5" t="s">
        <v>108</v>
      </c>
      <c r="G262" s="5" t="s">
        <v>386</v>
      </c>
      <c r="H262" s="14" t="n">
        <v>0.664</v>
      </c>
      <c r="I262" s="14" t="n">
        <v>15.94</v>
      </c>
      <c r="J262" s="0" t="n">
        <v>24</v>
      </c>
      <c r="L262" s="0" t="n">
        <v>1</v>
      </c>
      <c r="M262" s="6" t="n">
        <v>15.94</v>
      </c>
      <c r="N262" s="5" t="s">
        <v>77</v>
      </c>
    </row>
    <row r="263" customFormat="false" ht="15" hidden="false" customHeight="false" outlineLevel="0" collapsed="false">
      <c r="A263" s="4" t="n">
        <v>46083</v>
      </c>
      <c r="B263" s="5" t="s">
        <v>26</v>
      </c>
      <c r="C263" s="5" t="s">
        <v>12</v>
      </c>
      <c r="E263" s="5" t="s">
        <v>154</v>
      </c>
      <c r="F263" s="5" t="s">
        <v>155</v>
      </c>
      <c r="G263" s="5" t="s">
        <v>386</v>
      </c>
      <c r="H263" s="14" t="n">
        <v>0.501</v>
      </c>
      <c r="I263" s="14" t="n">
        <v>12.02</v>
      </c>
      <c r="J263" s="0" t="n">
        <v>24</v>
      </c>
      <c r="L263" s="0" t="n">
        <v>2</v>
      </c>
      <c r="M263" s="6" t="n">
        <v>24.04</v>
      </c>
      <c r="N263" s="5" t="s">
        <v>77</v>
      </c>
    </row>
    <row r="264" customFormat="false" ht="15" hidden="false" customHeight="false" outlineLevel="0" collapsed="false">
      <c r="A264" s="4" t="n">
        <v>46083</v>
      </c>
      <c r="B264" s="5" t="s">
        <v>26</v>
      </c>
      <c r="C264" s="5" t="s">
        <v>12</v>
      </c>
      <c r="D264" s="5" t="s">
        <v>98</v>
      </c>
      <c r="E264" s="5" t="s">
        <v>92</v>
      </c>
      <c r="F264" s="5" t="s">
        <v>93</v>
      </c>
      <c r="G264" s="5" t="s">
        <v>386</v>
      </c>
      <c r="H264" s="14" t="n">
        <v>0.59</v>
      </c>
      <c r="I264" s="14" t="n">
        <v>14.17</v>
      </c>
      <c r="J264" s="0" t="n">
        <v>24</v>
      </c>
      <c r="L264" s="0" t="n">
        <v>1</v>
      </c>
      <c r="M264" s="6" t="n">
        <v>14.17</v>
      </c>
      <c r="N264" s="5" t="s">
        <v>77</v>
      </c>
    </row>
    <row r="265" customFormat="false" ht="15" hidden="false" customHeight="false" outlineLevel="0" collapsed="false">
      <c r="A265" s="4" t="n">
        <v>46083</v>
      </c>
      <c r="B265" s="5" t="s">
        <v>26</v>
      </c>
      <c r="C265" s="5" t="s">
        <v>12</v>
      </c>
      <c r="D265" s="5" t="s">
        <v>98</v>
      </c>
      <c r="E265" s="5" t="s">
        <v>118</v>
      </c>
      <c r="F265" s="5" t="s">
        <v>119</v>
      </c>
      <c r="G265" s="5" t="s">
        <v>386</v>
      </c>
      <c r="H265" s="14" t="n">
        <v>0.621</v>
      </c>
      <c r="I265" s="14" t="n">
        <v>14.9</v>
      </c>
      <c r="J265" s="0" t="n">
        <v>24</v>
      </c>
      <c r="L265" s="0" t="n">
        <v>2</v>
      </c>
      <c r="M265" s="6" t="n">
        <v>29.8</v>
      </c>
      <c r="N265" s="5" t="s">
        <v>77</v>
      </c>
    </row>
    <row r="266" customFormat="false" ht="15" hidden="false" customHeight="false" outlineLevel="0" collapsed="false">
      <c r="A266" s="4" t="n">
        <v>46083</v>
      </c>
      <c r="B266" s="5" t="s">
        <v>26</v>
      </c>
      <c r="C266" s="5" t="s">
        <v>12</v>
      </c>
      <c r="D266" s="5" t="s">
        <v>98</v>
      </c>
      <c r="E266" s="5" t="s">
        <v>220</v>
      </c>
      <c r="F266" s="5" t="s">
        <v>221</v>
      </c>
      <c r="G266" s="5" t="s">
        <v>386</v>
      </c>
      <c r="H266" s="14" t="n">
        <v>0.492</v>
      </c>
      <c r="I266" s="14" t="n">
        <v>17.72</v>
      </c>
      <c r="J266" s="0" t="n">
        <v>36</v>
      </c>
      <c r="L266" s="0" t="n">
        <v>1</v>
      </c>
      <c r="M266" s="6" t="n">
        <v>17.72</v>
      </c>
      <c r="N266" s="5" t="s">
        <v>115</v>
      </c>
    </row>
    <row r="267" customFormat="false" ht="15" hidden="false" customHeight="false" outlineLevel="0" collapsed="false">
      <c r="A267" s="4" t="n">
        <v>46083</v>
      </c>
      <c r="B267" s="5" t="s">
        <v>26</v>
      </c>
      <c r="C267" s="5" t="s">
        <v>12</v>
      </c>
      <c r="D267" s="5" t="s">
        <v>98</v>
      </c>
      <c r="E267" s="5" t="s">
        <v>161</v>
      </c>
      <c r="F267" s="5" t="s">
        <v>162</v>
      </c>
      <c r="G267" s="5" t="s">
        <v>386</v>
      </c>
      <c r="H267" s="14" t="n">
        <v>0.636</v>
      </c>
      <c r="I267" s="14" t="n">
        <v>22.9</v>
      </c>
      <c r="J267" s="0" t="n">
        <v>36</v>
      </c>
      <c r="L267" s="0" t="n">
        <v>2</v>
      </c>
      <c r="M267" s="6" t="n">
        <v>45.8</v>
      </c>
      <c r="N267" s="5" t="s">
        <v>115</v>
      </c>
    </row>
    <row r="268" customFormat="false" ht="15" hidden="false" customHeight="false" outlineLevel="0" collapsed="false">
      <c r="A268" s="4" t="n">
        <v>46083</v>
      </c>
      <c r="B268" s="5" t="s">
        <v>26</v>
      </c>
      <c r="C268" s="5" t="s">
        <v>12</v>
      </c>
      <c r="D268" s="5" t="s">
        <v>98</v>
      </c>
      <c r="E268" s="5" t="s">
        <v>174</v>
      </c>
      <c r="F268" s="5" t="s">
        <v>175</v>
      </c>
      <c r="G268" s="5" t="s">
        <v>386</v>
      </c>
      <c r="H268" s="14" t="n">
        <v>0.857</v>
      </c>
      <c r="I268" s="14" t="n">
        <v>20.57</v>
      </c>
      <c r="J268" s="0" t="n">
        <v>24</v>
      </c>
      <c r="L268" s="0" t="n">
        <v>2</v>
      </c>
      <c r="M268" s="6" t="n">
        <v>41.14</v>
      </c>
      <c r="N268" s="5" t="s">
        <v>115</v>
      </c>
    </row>
    <row r="269" customFormat="false" ht="15" hidden="false" customHeight="false" outlineLevel="0" collapsed="false">
      <c r="A269" s="21" t="n">
        <v>46083</v>
      </c>
      <c r="B269" s="22" t="s">
        <v>26</v>
      </c>
      <c r="C269" s="22" t="s">
        <v>12</v>
      </c>
      <c r="D269" s="22" t="s">
        <v>98</v>
      </c>
      <c r="E269" s="22" t="s">
        <v>74</v>
      </c>
      <c r="F269" s="22" t="s">
        <v>75</v>
      </c>
      <c r="G269" s="22" t="s">
        <v>386</v>
      </c>
      <c r="H269" s="16" t="n">
        <v>0.716</v>
      </c>
      <c r="I269" s="16" t="n">
        <v>21.49</v>
      </c>
      <c r="J269" s="22" t="n">
        <v>30</v>
      </c>
      <c r="K269" s="22"/>
      <c r="L269" s="22" t="n">
        <v>6</v>
      </c>
      <c r="M269" s="23" t="n">
        <v>128.94</v>
      </c>
      <c r="N269" s="22" t="s">
        <v>77</v>
      </c>
      <c r="O269" s="22" t="s">
        <v>387</v>
      </c>
    </row>
    <row r="270" customFormat="false" ht="15" hidden="false" customHeight="false" outlineLevel="0" collapsed="false">
      <c r="A270" s="4" t="n">
        <v>46083</v>
      </c>
      <c r="B270" s="5" t="s">
        <v>26</v>
      </c>
      <c r="C270" s="5" t="s">
        <v>12</v>
      </c>
      <c r="D270" s="5" t="s">
        <v>98</v>
      </c>
      <c r="E270" s="5" t="s">
        <v>113</v>
      </c>
      <c r="F270" s="5" t="s">
        <v>114</v>
      </c>
      <c r="G270" s="5" t="s">
        <v>386</v>
      </c>
      <c r="H270" s="14" t="n">
        <v>0.492</v>
      </c>
      <c r="I270" s="14" t="n">
        <v>11.81</v>
      </c>
      <c r="J270" s="0" t="n">
        <v>24</v>
      </c>
      <c r="L270" s="0" t="n">
        <v>2</v>
      </c>
      <c r="M270" s="6" t="n">
        <v>23.62</v>
      </c>
      <c r="N270" s="5" t="s">
        <v>115</v>
      </c>
    </row>
    <row r="271" customFormat="false" ht="15" hidden="false" customHeight="false" outlineLevel="0" collapsed="false">
      <c r="A271" s="4" t="n">
        <v>46083</v>
      </c>
      <c r="B271" s="5" t="s">
        <v>26</v>
      </c>
      <c r="C271" s="5" t="s">
        <v>12</v>
      </c>
      <c r="D271" s="5" t="s">
        <v>98</v>
      </c>
      <c r="E271" s="5" t="s">
        <v>120</v>
      </c>
      <c r="F271" s="5" t="s">
        <v>121</v>
      </c>
      <c r="G271" s="5" t="s">
        <v>386</v>
      </c>
      <c r="H271" s="14" t="n">
        <v>0.566</v>
      </c>
      <c r="I271" s="14" t="n">
        <v>20.39</v>
      </c>
      <c r="J271" s="0" t="n">
        <v>36</v>
      </c>
      <c r="L271" s="0" t="n">
        <v>2</v>
      </c>
      <c r="M271" s="6" t="n">
        <v>40.78</v>
      </c>
      <c r="N271" s="5" t="s">
        <v>77</v>
      </c>
    </row>
    <row r="272" customFormat="false" ht="15" hidden="false" customHeight="false" outlineLevel="0" collapsed="false">
      <c r="A272" s="4" t="n">
        <v>46083</v>
      </c>
      <c r="B272" s="5" t="s">
        <v>26</v>
      </c>
      <c r="C272" s="5" t="s">
        <v>12</v>
      </c>
      <c r="D272" s="5" t="s">
        <v>98</v>
      </c>
      <c r="E272" s="5" t="s">
        <v>126</v>
      </c>
      <c r="F272" s="5" t="s">
        <v>127</v>
      </c>
      <c r="G272" s="5" t="s">
        <v>386</v>
      </c>
      <c r="H272" s="14" t="n">
        <v>0.521</v>
      </c>
      <c r="I272" s="14" t="n">
        <v>16.68</v>
      </c>
      <c r="J272" s="0" t="n">
        <v>32</v>
      </c>
      <c r="L272" s="0" t="n">
        <v>1</v>
      </c>
      <c r="M272" s="6" t="n">
        <v>16.68</v>
      </c>
      <c r="N272" s="5" t="s">
        <v>77</v>
      </c>
    </row>
    <row r="273" customFormat="false" ht="15" hidden="false" customHeight="false" outlineLevel="0" collapsed="false">
      <c r="A273" s="4" t="n">
        <v>46083</v>
      </c>
      <c r="B273" s="5" t="s">
        <v>26</v>
      </c>
      <c r="C273" s="5" t="s">
        <v>12</v>
      </c>
      <c r="D273" s="5" t="s">
        <v>98</v>
      </c>
      <c r="E273" s="5" t="s">
        <v>170</v>
      </c>
      <c r="F273" s="5" t="s">
        <v>171</v>
      </c>
      <c r="G273" s="5" t="s">
        <v>386</v>
      </c>
      <c r="H273" s="14" t="n">
        <v>0.598</v>
      </c>
      <c r="I273" s="14" t="n">
        <v>23.9</v>
      </c>
      <c r="J273" s="0" t="n">
        <v>40</v>
      </c>
      <c r="L273" s="0" t="n">
        <v>1</v>
      </c>
      <c r="M273" s="6" t="n">
        <v>23.9</v>
      </c>
      <c r="N273" s="5" t="s">
        <v>115</v>
      </c>
    </row>
    <row r="274" customFormat="false" ht="15" hidden="false" customHeight="false" outlineLevel="0" collapsed="false">
      <c r="A274" s="4" t="n">
        <v>46083</v>
      </c>
      <c r="B274" s="5" t="s">
        <v>26</v>
      </c>
      <c r="C274" s="5" t="s">
        <v>12</v>
      </c>
      <c r="D274" s="5" t="s">
        <v>98</v>
      </c>
      <c r="E274" s="5" t="s">
        <v>130</v>
      </c>
      <c r="F274" s="5" t="s">
        <v>131</v>
      </c>
      <c r="G274" s="5" t="s">
        <v>386</v>
      </c>
      <c r="H274" s="14" t="n">
        <v>1.103</v>
      </c>
      <c r="I274" s="14" t="n">
        <v>4.41</v>
      </c>
      <c r="J274" s="0" t="n">
        <v>4</v>
      </c>
      <c r="L274" s="0" t="n">
        <v>3</v>
      </c>
      <c r="M274" s="6" t="n">
        <v>13.23</v>
      </c>
      <c r="N274" s="5" t="s">
        <v>77</v>
      </c>
    </row>
    <row r="275" customFormat="false" ht="15" hidden="false" customHeight="false" outlineLevel="0" collapsed="false">
      <c r="A275" s="4" t="n">
        <v>46083</v>
      </c>
      <c r="B275" s="5" t="s">
        <v>26</v>
      </c>
      <c r="C275" s="5" t="s">
        <v>12</v>
      </c>
      <c r="D275" s="5" t="s">
        <v>98</v>
      </c>
      <c r="E275" s="5" t="s">
        <v>116</v>
      </c>
      <c r="F275" s="5" t="s">
        <v>117</v>
      </c>
      <c r="G275" s="5" t="s">
        <v>386</v>
      </c>
      <c r="H275" s="14" t="n">
        <v>1.496</v>
      </c>
      <c r="I275" s="14" t="n">
        <v>13.46</v>
      </c>
      <c r="J275" s="0" t="n">
        <v>9</v>
      </c>
      <c r="L275" s="0" t="n">
        <v>10</v>
      </c>
      <c r="M275" s="6" t="n">
        <v>134.6</v>
      </c>
      <c r="N275" s="5" t="s">
        <v>77</v>
      </c>
    </row>
    <row r="276" customFormat="false" ht="15" hidden="false" customHeight="false" outlineLevel="0" collapsed="false">
      <c r="A276" s="4" t="n">
        <v>46083</v>
      </c>
      <c r="B276" s="5" t="s">
        <v>26</v>
      </c>
      <c r="C276" s="5" t="s">
        <v>12</v>
      </c>
      <c r="D276" s="5" t="s">
        <v>98</v>
      </c>
      <c r="E276" s="5" t="s">
        <v>156</v>
      </c>
      <c r="F276" s="5" t="s">
        <v>157</v>
      </c>
      <c r="G276" s="5" t="s">
        <v>78</v>
      </c>
      <c r="H276" s="14" t="n">
        <v>3.58</v>
      </c>
      <c r="I276" s="14" t="n">
        <v>3.58</v>
      </c>
      <c r="J276" s="0" t="n">
        <v>1</v>
      </c>
      <c r="L276" s="0" t="n">
        <v>3</v>
      </c>
      <c r="M276" s="6" t="n">
        <v>10.74</v>
      </c>
      <c r="N276" s="5" t="s">
        <v>77</v>
      </c>
    </row>
    <row r="277" customFormat="false" ht="15" hidden="false" customHeight="false" outlineLevel="0" collapsed="false">
      <c r="A277" s="21" t="n">
        <v>46083</v>
      </c>
      <c r="B277" s="22" t="s">
        <v>26</v>
      </c>
      <c r="C277" s="22" t="s">
        <v>12</v>
      </c>
      <c r="D277" s="22" t="s">
        <v>98</v>
      </c>
      <c r="E277" s="22" t="s">
        <v>124</v>
      </c>
      <c r="F277" s="22" t="s">
        <v>125</v>
      </c>
      <c r="G277" s="22" t="s">
        <v>386</v>
      </c>
      <c r="H277" s="16" t="n">
        <v>0.401</v>
      </c>
      <c r="I277" s="16" t="n">
        <v>8.02</v>
      </c>
      <c r="J277" s="22" t="n">
        <v>20</v>
      </c>
      <c r="K277" s="22"/>
      <c r="L277" s="22" t="n">
        <v>3</v>
      </c>
      <c r="M277" s="23" t="n">
        <v>24.06</v>
      </c>
      <c r="N277" s="22" t="s">
        <v>77</v>
      </c>
      <c r="O277" s="22" t="s">
        <v>387</v>
      </c>
    </row>
    <row r="278" customFormat="false" ht="15" hidden="false" customHeight="false" outlineLevel="0" collapsed="false">
      <c r="A278" s="4" t="n">
        <v>46083</v>
      </c>
      <c r="B278" s="5" t="s">
        <v>26</v>
      </c>
      <c r="C278" s="5" t="s">
        <v>12</v>
      </c>
      <c r="D278" s="5" t="s">
        <v>98</v>
      </c>
      <c r="E278" s="5" t="s">
        <v>94</v>
      </c>
      <c r="F278" s="5" t="s">
        <v>95</v>
      </c>
      <c r="G278" s="5" t="s">
        <v>386</v>
      </c>
      <c r="H278" s="14" t="n">
        <v>0.787</v>
      </c>
      <c r="I278" s="14" t="n">
        <v>18.89</v>
      </c>
      <c r="J278" s="0" t="n">
        <v>24</v>
      </c>
      <c r="L278" s="0" t="n">
        <v>3</v>
      </c>
      <c r="M278" s="6" t="n">
        <v>56.67</v>
      </c>
      <c r="N278" s="5" t="s">
        <v>77</v>
      </c>
    </row>
    <row r="279" customFormat="false" ht="15" hidden="false" customHeight="false" outlineLevel="0" collapsed="false">
      <c r="A279" s="4" t="n">
        <v>46083</v>
      </c>
      <c r="B279" s="5" t="s">
        <v>26</v>
      </c>
      <c r="C279" s="5" t="s">
        <v>12</v>
      </c>
      <c r="D279" s="5" t="s">
        <v>98</v>
      </c>
      <c r="E279" s="5" t="s">
        <v>96</v>
      </c>
      <c r="F279" s="5" t="s">
        <v>97</v>
      </c>
      <c r="G279" s="5" t="s">
        <v>386</v>
      </c>
      <c r="H279" s="14" t="n">
        <v>0.741</v>
      </c>
      <c r="I279" s="14" t="n">
        <v>17.79</v>
      </c>
      <c r="J279" s="0" t="n">
        <v>24</v>
      </c>
      <c r="L279" s="0" t="n">
        <v>4</v>
      </c>
      <c r="M279" s="6" t="n">
        <v>71.16</v>
      </c>
      <c r="N279" s="5" t="s">
        <v>77</v>
      </c>
    </row>
    <row r="280" customFormat="false" ht="15" hidden="false" customHeight="false" outlineLevel="0" collapsed="false">
      <c r="A280" s="21" t="n">
        <v>46083</v>
      </c>
      <c r="B280" s="22" t="s">
        <v>26</v>
      </c>
      <c r="C280" s="22" t="s">
        <v>12</v>
      </c>
      <c r="D280" s="22" t="s">
        <v>98</v>
      </c>
      <c r="E280" s="22" t="s">
        <v>122</v>
      </c>
      <c r="F280" s="22" t="s">
        <v>123</v>
      </c>
      <c r="G280" s="22" t="s">
        <v>386</v>
      </c>
      <c r="H280" s="16" t="n">
        <v>1.867</v>
      </c>
      <c r="I280" s="16" t="n">
        <v>11.2</v>
      </c>
      <c r="J280" s="22" t="n">
        <v>6</v>
      </c>
      <c r="K280" s="22"/>
      <c r="L280" s="22" t="n">
        <v>3</v>
      </c>
      <c r="M280" s="23" t="n">
        <v>33.6</v>
      </c>
      <c r="N280" s="22" t="s">
        <v>77</v>
      </c>
      <c r="O280" s="22" t="s">
        <v>387</v>
      </c>
    </row>
    <row r="281" customFormat="false" ht="15" hidden="false" customHeight="false" outlineLevel="0" collapsed="false">
      <c r="A281" s="4" t="n">
        <v>46083</v>
      </c>
      <c r="B281" s="5" t="s">
        <v>26</v>
      </c>
      <c r="C281" s="5" t="s">
        <v>12</v>
      </c>
      <c r="D281" s="5" t="s">
        <v>98</v>
      </c>
      <c r="E281" s="5" t="s">
        <v>262</v>
      </c>
      <c r="F281" s="5" t="s">
        <v>263</v>
      </c>
      <c r="G281" s="5" t="s">
        <v>386</v>
      </c>
      <c r="H281" s="14" t="n">
        <v>0.373</v>
      </c>
      <c r="I281" s="14" t="n">
        <v>8.95</v>
      </c>
      <c r="J281" s="0" t="n">
        <v>24</v>
      </c>
      <c r="L281" s="0" t="n">
        <v>2</v>
      </c>
      <c r="M281" s="6" t="n">
        <v>17.9</v>
      </c>
      <c r="N281" s="5" t="s">
        <v>77</v>
      </c>
    </row>
    <row r="282" customFormat="false" ht="15" hidden="false" customHeight="false" outlineLevel="0" collapsed="false">
      <c r="A282" s="4" t="n">
        <v>46083</v>
      </c>
      <c r="B282" s="5" t="s">
        <v>26</v>
      </c>
      <c r="C282" s="5" t="s">
        <v>12</v>
      </c>
      <c r="D282" s="5" t="s">
        <v>98</v>
      </c>
      <c r="E282" s="5" t="s">
        <v>228</v>
      </c>
      <c r="F282" s="5" t="s">
        <v>229</v>
      </c>
      <c r="G282" s="5" t="s">
        <v>78</v>
      </c>
      <c r="H282" s="14" t="n">
        <v>35.33</v>
      </c>
      <c r="I282" s="14" t="n">
        <v>35.33</v>
      </c>
      <c r="J282" s="0" t="n">
        <v>1</v>
      </c>
      <c r="L282" s="0" t="n">
        <v>1</v>
      </c>
      <c r="M282" s="6" t="n">
        <v>35.33</v>
      </c>
      <c r="N282" s="5" t="s">
        <v>115</v>
      </c>
    </row>
    <row r="283" customFormat="false" ht="15" hidden="false" customHeight="false" outlineLevel="0" collapsed="false">
      <c r="A283" s="21" t="n">
        <v>46083</v>
      </c>
      <c r="B283" s="22" t="s">
        <v>26</v>
      </c>
      <c r="C283" s="22" t="s">
        <v>12</v>
      </c>
      <c r="D283" s="22" t="s">
        <v>98</v>
      </c>
      <c r="E283" s="22" t="s">
        <v>224</v>
      </c>
      <c r="F283" s="22" t="s">
        <v>225</v>
      </c>
      <c r="G283" s="22" t="s">
        <v>386</v>
      </c>
      <c r="H283" s="16" t="n">
        <v>0.46</v>
      </c>
      <c r="I283" s="16" t="n">
        <v>13.81</v>
      </c>
      <c r="J283" s="22" t="n">
        <v>30</v>
      </c>
      <c r="K283" s="22"/>
      <c r="L283" s="22" t="n">
        <v>1</v>
      </c>
      <c r="M283" s="23" t="n">
        <v>13.81</v>
      </c>
      <c r="N283" s="22" t="s">
        <v>115</v>
      </c>
      <c r="O283" s="22" t="s">
        <v>387</v>
      </c>
    </row>
    <row r="284" customFormat="false" ht="15" hidden="false" customHeight="false" outlineLevel="0" collapsed="false">
      <c r="A284" s="21" t="n">
        <v>46083</v>
      </c>
      <c r="B284" s="22" t="s">
        <v>26</v>
      </c>
      <c r="C284" s="22" t="s">
        <v>12</v>
      </c>
      <c r="D284" s="22" t="s">
        <v>98</v>
      </c>
      <c r="E284" s="22" t="s">
        <v>128</v>
      </c>
      <c r="F284" s="22" t="s">
        <v>129</v>
      </c>
      <c r="G284" s="22" t="s">
        <v>78</v>
      </c>
      <c r="H284" s="16" t="n">
        <v>13.4</v>
      </c>
      <c r="I284" s="16" t="n">
        <v>13.4</v>
      </c>
      <c r="J284" s="22" t="n">
        <v>1</v>
      </c>
      <c r="K284" s="22"/>
      <c r="L284" s="22" t="n">
        <v>2</v>
      </c>
      <c r="M284" s="23" t="n">
        <v>26.8</v>
      </c>
      <c r="N284" s="22" t="s">
        <v>115</v>
      </c>
      <c r="O284" s="22" t="s">
        <v>387</v>
      </c>
    </row>
    <row r="285" customFormat="false" ht="15" hidden="false" customHeight="false" outlineLevel="0" collapsed="false">
      <c r="A285" s="4" t="n">
        <v>46083</v>
      </c>
      <c r="B285" s="5" t="s">
        <v>26</v>
      </c>
      <c r="C285" s="5" t="s">
        <v>12</v>
      </c>
      <c r="D285" s="5" t="s">
        <v>81</v>
      </c>
      <c r="E285" s="5" t="s">
        <v>189</v>
      </c>
      <c r="F285" s="5" t="s">
        <v>190</v>
      </c>
      <c r="G285" s="5" t="s">
        <v>78</v>
      </c>
      <c r="H285" s="14" t="n">
        <v>2.65</v>
      </c>
      <c r="I285" s="14" t="n">
        <v>2.65</v>
      </c>
      <c r="J285" s="0" t="n">
        <v>1</v>
      </c>
      <c r="L285" s="0" t="n">
        <v>6</v>
      </c>
      <c r="M285" s="6" t="n">
        <v>15.9</v>
      </c>
      <c r="N285" s="5" t="s">
        <v>77</v>
      </c>
    </row>
    <row r="286" customFormat="false" ht="15" hidden="false" customHeight="false" outlineLevel="0" collapsed="false">
      <c r="A286" s="4" t="n">
        <v>46083</v>
      </c>
      <c r="B286" s="5" t="s">
        <v>26</v>
      </c>
      <c r="C286" s="5" t="s">
        <v>12</v>
      </c>
      <c r="D286" s="5" t="s">
        <v>160</v>
      </c>
      <c r="E286" s="5" t="s">
        <v>208</v>
      </c>
      <c r="F286" s="5" t="s">
        <v>209</v>
      </c>
      <c r="G286" s="5" t="s">
        <v>78</v>
      </c>
      <c r="H286" s="14" t="n">
        <v>10.65</v>
      </c>
      <c r="I286" s="14" t="n">
        <v>10.65</v>
      </c>
      <c r="J286" s="0" t="n">
        <v>1</v>
      </c>
      <c r="L286" s="0" t="n">
        <v>1</v>
      </c>
      <c r="M286" s="6" t="n">
        <v>10.65</v>
      </c>
      <c r="N286" s="5" t="s">
        <v>77</v>
      </c>
    </row>
    <row r="287" customFormat="false" ht="15" hidden="false" customHeight="false" outlineLevel="0" collapsed="false">
      <c r="A287" s="21" t="n">
        <v>46097</v>
      </c>
      <c r="B287" s="22" t="s">
        <v>27</v>
      </c>
      <c r="C287" s="22" t="s">
        <v>14</v>
      </c>
      <c r="D287" s="22"/>
      <c r="E287" s="22" t="s">
        <v>152</v>
      </c>
      <c r="F287" s="22" t="s">
        <v>153</v>
      </c>
      <c r="G287" s="22" t="s">
        <v>386</v>
      </c>
      <c r="H287" s="16" t="n">
        <v>0.51</v>
      </c>
      <c r="I287" s="16" t="n">
        <v>12.23</v>
      </c>
      <c r="J287" s="22" t="n">
        <v>24</v>
      </c>
      <c r="K287" s="22"/>
      <c r="L287" s="22" t="n">
        <v>2</v>
      </c>
      <c r="M287" s="23" t="n">
        <v>24.46</v>
      </c>
      <c r="N287" s="22" t="s">
        <v>77</v>
      </c>
      <c r="O287" s="22" t="s">
        <v>387</v>
      </c>
    </row>
    <row r="288" customFormat="false" ht="15" hidden="false" customHeight="false" outlineLevel="0" collapsed="false">
      <c r="A288" s="4" t="n">
        <v>46097</v>
      </c>
      <c r="B288" s="5" t="s">
        <v>27</v>
      </c>
      <c r="C288" s="5" t="s">
        <v>14</v>
      </c>
      <c r="E288" s="5" t="s">
        <v>101</v>
      </c>
      <c r="F288" s="5" t="s">
        <v>102</v>
      </c>
      <c r="G288" s="5" t="s">
        <v>386</v>
      </c>
      <c r="H288" s="14" t="n">
        <v>0.802</v>
      </c>
      <c r="I288" s="14" t="n">
        <v>19.25</v>
      </c>
      <c r="J288" s="0" t="n">
        <v>24</v>
      </c>
      <c r="L288" s="0" t="n">
        <v>2</v>
      </c>
      <c r="M288" s="6" t="n">
        <v>38.5</v>
      </c>
      <c r="N288" s="5" t="s">
        <v>77</v>
      </c>
    </row>
    <row r="289" customFormat="false" ht="15" hidden="false" customHeight="false" outlineLevel="0" collapsed="false">
      <c r="A289" s="21" t="n">
        <v>46097</v>
      </c>
      <c r="B289" s="22" t="s">
        <v>27</v>
      </c>
      <c r="C289" s="22" t="s">
        <v>14</v>
      </c>
      <c r="D289" s="22"/>
      <c r="E289" s="22" t="s">
        <v>148</v>
      </c>
      <c r="F289" s="22" t="s">
        <v>149</v>
      </c>
      <c r="G289" s="22" t="s">
        <v>386</v>
      </c>
      <c r="H289" s="16" t="n">
        <v>0.422</v>
      </c>
      <c r="I289" s="16" t="n">
        <v>10.13</v>
      </c>
      <c r="J289" s="22" t="n">
        <v>24</v>
      </c>
      <c r="K289" s="22"/>
      <c r="L289" s="22" t="n">
        <v>4</v>
      </c>
      <c r="M289" s="23" t="n">
        <v>40.52</v>
      </c>
      <c r="N289" s="22" t="s">
        <v>77</v>
      </c>
      <c r="O289" s="22" t="s">
        <v>387</v>
      </c>
    </row>
    <row r="290" customFormat="false" ht="15" hidden="false" customHeight="false" outlineLevel="0" collapsed="false">
      <c r="A290" s="21" t="n">
        <v>46097</v>
      </c>
      <c r="B290" s="22" t="s">
        <v>27</v>
      </c>
      <c r="C290" s="22" t="s">
        <v>14</v>
      </c>
      <c r="D290" s="22"/>
      <c r="E290" s="22" t="s">
        <v>146</v>
      </c>
      <c r="F290" s="22" t="s">
        <v>147</v>
      </c>
      <c r="G290" s="22" t="s">
        <v>386</v>
      </c>
      <c r="H290" s="16" t="n">
        <v>0.455</v>
      </c>
      <c r="I290" s="16" t="n">
        <v>10.93</v>
      </c>
      <c r="J290" s="22" t="n">
        <v>24</v>
      </c>
      <c r="K290" s="22"/>
      <c r="L290" s="22" t="n">
        <v>2</v>
      </c>
      <c r="M290" s="23" t="n">
        <v>21.86</v>
      </c>
      <c r="N290" s="22" t="s">
        <v>77</v>
      </c>
      <c r="O290" s="22" t="s">
        <v>387</v>
      </c>
    </row>
    <row r="291" customFormat="false" ht="15" hidden="false" customHeight="false" outlineLevel="0" collapsed="false">
      <c r="A291" s="21" t="n">
        <v>46097</v>
      </c>
      <c r="B291" s="22" t="s">
        <v>27</v>
      </c>
      <c r="C291" s="22" t="s">
        <v>14</v>
      </c>
      <c r="D291" s="22"/>
      <c r="E291" s="22" t="s">
        <v>84</v>
      </c>
      <c r="F291" s="22" t="s">
        <v>85</v>
      </c>
      <c r="G291" s="22" t="s">
        <v>386</v>
      </c>
      <c r="H291" s="16" t="n">
        <v>1.226</v>
      </c>
      <c r="I291" s="16" t="n">
        <v>14.71</v>
      </c>
      <c r="J291" s="22" t="n">
        <v>12</v>
      </c>
      <c r="K291" s="22"/>
      <c r="L291" s="22" t="n">
        <v>3</v>
      </c>
      <c r="M291" s="23" t="n">
        <v>44.13</v>
      </c>
      <c r="N291" s="22" t="s">
        <v>77</v>
      </c>
      <c r="O291" s="22" t="s">
        <v>387</v>
      </c>
    </row>
    <row r="292" customFormat="false" ht="15" hidden="false" customHeight="false" outlineLevel="0" collapsed="false">
      <c r="A292" s="21" t="n">
        <v>46097</v>
      </c>
      <c r="B292" s="22" t="s">
        <v>27</v>
      </c>
      <c r="C292" s="22" t="s">
        <v>14</v>
      </c>
      <c r="D292" s="22"/>
      <c r="E292" s="22" t="s">
        <v>86</v>
      </c>
      <c r="F292" s="22" t="s">
        <v>87</v>
      </c>
      <c r="G292" s="22" t="s">
        <v>386</v>
      </c>
      <c r="H292" s="16" t="n">
        <v>1.228</v>
      </c>
      <c r="I292" s="16" t="n">
        <v>14.73</v>
      </c>
      <c r="J292" s="22" t="n">
        <v>12</v>
      </c>
      <c r="K292" s="22"/>
      <c r="L292" s="22" t="n">
        <v>1</v>
      </c>
      <c r="M292" s="23" t="n">
        <v>14.73</v>
      </c>
      <c r="N292" s="22" t="s">
        <v>77</v>
      </c>
      <c r="O292" s="22" t="s">
        <v>387</v>
      </c>
    </row>
    <row r="293" customFormat="false" ht="15" hidden="false" customHeight="false" outlineLevel="0" collapsed="false">
      <c r="A293" s="21" t="n">
        <v>46097</v>
      </c>
      <c r="B293" s="22" t="s">
        <v>27</v>
      </c>
      <c r="C293" s="22" t="s">
        <v>14</v>
      </c>
      <c r="D293" s="22"/>
      <c r="E293" s="22" t="s">
        <v>88</v>
      </c>
      <c r="F293" s="22" t="s">
        <v>89</v>
      </c>
      <c r="G293" s="22" t="s">
        <v>386</v>
      </c>
      <c r="H293" s="16" t="n">
        <v>1.073</v>
      </c>
      <c r="I293" s="16" t="n">
        <v>12.88</v>
      </c>
      <c r="J293" s="22" t="n">
        <v>12</v>
      </c>
      <c r="K293" s="22"/>
      <c r="L293" s="22" t="n">
        <v>5</v>
      </c>
      <c r="M293" s="23" t="n">
        <v>64.4</v>
      </c>
      <c r="N293" s="22" t="s">
        <v>77</v>
      </c>
      <c r="O293" s="22" t="s">
        <v>387</v>
      </c>
    </row>
    <row r="294" customFormat="false" ht="15" hidden="false" customHeight="false" outlineLevel="0" collapsed="false">
      <c r="A294" s="21" t="n">
        <v>46097</v>
      </c>
      <c r="B294" s="22" t="s">
        <v>27</v>
      </c>
      <c r="C294" s="22" t="s">
        <v>14</v>
      </c>
      <c r="D294" s="22"/>
      <c r="E294" s="22" t="s">
        <v>109</v>
      </c>
      <c r="F294" s="22" t="s">
        <v>110</v>
      </c>
      <c r="G294" s="22" t="s">
        <v>386</v>
      </c>
      <c r="H294" s="16" t="n">
        <v>0.448</v>
      </c>
      <c r="I294" s="16" t="n">
        <v>10.76</v>
      </c>
      <c r="J294" s="22" t="n">
        <v>24</v>
      </c>
      <c r="K294" s="22"/>
      <c r="L294" s="22" t="n">
        <v>1</v>
      </c>
      <c r="M294" s="23" t="n">
        <v>10.76</v>
      </c>
      <c r="N294" s="22" t="s">
        <v>77</v>
      </c>
      <c r="O294" s="22" t="s">
        <v>387</v>
      </c>
    </row>
    <row r="295" customFormat="false" ht="15" hidden="false" customHeight="false" outlineLevel="0" collapsed="false">
      <c r="A295" s="21" t="n">
        <v>46097</v>
      </c>
      <c r="B295" s="22" t="s">
        <v>27</v>
      </c>
      <c r="C295" s="22" t="s">
        <v>14</v>
      </c>
      <c r="D295" s="22"/>
      <c r="E295" s="22" t="s">
        <v>90</v>
      </c>
      <c r="F295" s="22" t="s">
        <v>91</v>
      </c>
      <c r="G295" s="22" t="s">
        <v>386</v>
      </c>
      <c r="H295" s="16" t="n">
        <v>0.518</v>
      </c>
      <c r="I295" s="16" t="n">
        <v>12.42</v>
      </c>
      <c r="J295" s="22" t="n">
        <v>24</v>
      </c>
      <c r="K295" s="22"/>
      <c r="L295" s="22" t="n">
        <v>1</v>
      </c>
      <c r="M295" s="23" t="n">
        <v>12.42</v>
      </c>
      <c r="N295" s="22" t="s">
        <v>77</v>
      </c>
      <c r="O295" s="22" t="s">
        <v>387</v>
      </c>
    </row>
    <row r="296" customFormat="false" ht="15" hidden="false" customHeight="false" outlineLevel="0" collapsed="false">
      <c r="A296" s="4" t="n">
        <v>46097</v>
      </c>
      <c r="B296" s="5" t="s">
        <v>27</v>
      </c>
      <c r="C296" s="5" t="s">
        <v>14</v>
      </c>
      <c r="E296" s="5" t="s">
        <v>193</v>
      </c>
      <c r="F296" s="5" t="s">
        <v>194</v>
      </c>
      <c r="G296" s="5" t="s">
        <v>386</v>
      </c>
      <c r="H296" s="14" t="n">
        <v>0.592</v>
      </c>
      <c r="I296" s="14" t="n">
        <v>14.2</v>
      </c>
      <c r="J296" s="0" t="n">
        <v>24</v>
      </c>
      <c r="L296" s="0" t="n">
        <v>1</v>
      </c>
      <c r="M296" s="6" t="n">
        <v>14.2</v>
      </c>
      <c r="N296" s="5" t="s">
        <v>77</v>
      </c>
    </row>
    <row r="297" customFormat="false" ht="15" hidden="false" customHeight="false" outlineLevel="0" collapsed="false">
      <c r="A297" s="4" t="n">
        <v>46097</v>
      </c>
      <c r="B297" s="5" t="s">
        <v>27</v>
      </c>
      <c r="C297" s="5" t="s">
        <v>14</v>
      </c>
      <c r="E297" s="5" t="s">
        <v>134</v>
      </c>
      <c r="F297" s="5" t="s">
        <v>135</v>
      </c>
      <c r="G297" s="5" t="s">
        <v>386</v>
      </c>
      <c r="H297" s="14" t="n">
        <v>0.64</v>
      </c>
      <c r="I297" s="14" t="n">
        <v>15.36</v>
      </c>
      <c r="J297" s="0" t="n">
        <v>24</v>
      </c>
      <c r="L297" s="0" t="n">
        <v>5</v>
      </c>
      <c r="M297" s="6" t="n">
        <v>76.8</v>
      </c>
      <c r="N297" s="5" t="s">
        <v>77</v>
      </c>
    </row>
    <row r="298" customFormat="false" ht="15" hidden="false" customHeight="false" outlineLevel="0" collapsed="false">
      <c r="A298" s="4" t="n">
        <v>46097</v>
      </c>
      <c r="B298" s="5" t="s">
        <v>27</v>
      </c>
      <c r="C298" s="5" t="s">
        <v>14</v>
      </c>
      <c r="E298" s="5" t="s">
        <v>79</v>
      </c>
      <c r="F298" s="5" t="s">
        <v>80</v>
      </c>
      <c r="G298" s="5" t="s">
        <v>386</v>
      </c>
      <c r="H298" s="14" t="n">
        <v>0.53</v>
      </c>
      <c r="I298" s="14" t="n">
        <v>12.72</v>
      </c>
      <c r="J298" s="0" t="n">
        <v>24</v>
      </c>
      <c r="L298" s="0" t="n">
        <v>6</v>
      </c>
      <c r="M298" s="6" t="n">
        <v>76.32</v>
      </c>
      <c r="N298" s="5" t="s">
        <v>77</v>
      </c>
    </row>
    <row r="299" customFormat="false" ht="15" hidden="false" customHeight="false" outlineLevel="0" collapsed="false">
      <c r="A299" s="4" t="n">
        <v>46097</v>
      </c>
      <c r="B299" s="5" t="s">
        <v>27</v>
      </c>
      <c r="C299" s="5" t="s">
        <v>14</v>
      </c>
      <c r="E299" s="5" t="s">
        <v>144</v>
      </c>
      <c r="F299" s="5" t="s">
        <v>145</v>
      </c>
      <c r="G299" s="5" t="s">
        <v>386</v>
      </c>
      <c r="H299" s="14" t="n">
        <v>0.571</v>
      </c>
      <c r="I299" s="14" t="n">
        <v>13.71</v>
      </c>
      <c r="J299" s="0" t="n">
        <v>24</v>
      </c>
      <c r="L299" s="0" t="n">
        <v>1</v>
      </c>
      <c r="M299" s="6" t="n">
        <v>13.71</v>
      </c>
      <c r="N299" s="5" t="s">
        <v>77</v>
      </c>
    </row>
    <row r="300" customFormat="false" ht="15" hidden="false" customHeight="false" outlineLevel="0" collapsed="false">
      <c r="A300" s="4" t="n">
        <v>46097</v>
      </c>
      <c r="B300" s="5" t="s">
        <v>27</v>
      </c>
      <c r="C300" s="5" t="s">
        <v>14</v>
      </c>
      <c r="E300" s="5" t="s">
        <v>142</v>
      </c>
      <c r="F300" s="5" t="s">
        <v>143</v>
      </c>
      <c r="G300" s="5" t="s">
        <v>386</v>
      </c>
      <c r="H300" s="14" t="n">
        <v>0.57</v>
      </c>
      <c r="I300" s="14" t="n">
        <v>13.67</v>
      </c>
      <c r="J300" s="0" t="n">
        <v>24</v>
      </c>
      <c r="L300" s="0" t="n">
        <v>2</v>
      </c>
      <c r="M300" s="6" t="n">
        <v>27.34</v>
      </c>
      <c r="N300" s="5" t="s">
        <v>77</v>
      </c>
    </row>
    <row r="301" customFormat="false" ht="15" hidden="false" customHeight="false" outlineLevel="0" collapsed="false">
      <c r="A301" s="4" t="n">
        <v>46097</v>
      </c>
      <c r="B301" s="5" t="s">
        <v>27</v>
      </c>
      <c r="C301" s="5" t="s">
        <v>14</v>
      </c>
      <c r="E301" s="5" t="s">
        <v>103</v>
      </c>
      <c r="F301" s="5" t="s">
        <v>104</v>
      </c>
      <c r="G301" s="5" t="s">
        <v>386</v>
      </c>
      <c r="H301" s="14" t="n">
        <v>0.614</v>
      </c>
      <c r="I301" s="14" t="n">
        <v>14.73</v>
      </c>
      <c r="J301" s="0" t="n">
        <v>24</v>
      </c>
      <c r="L301" s="0" t="n">
        <v>1</v>
      </c>
      <c r="M301" s="6" t="n">
        <v>14.73</v>
      </c>
      <c r="N301" s="5" t="s">
        <v>77</v>
      </c>
    </row>
    <row r="302" customFormat="false" ht="15" hidden="false" customHeight="false" outlineLevel="0" collapsed="false">
      <c r="A302" s="4" t="n">
        <v>46097</v>
      </c>
      <c r="B302" s="5" t="s">
        <v>27</v>
      </c>
      <c r="C302" s="5" t="s">
        <v>14</v>
      </c>
      <c r="E302" s="5" t="s">
        <v>99</v>
      </c>
      <c r="F302" s="5" t="s">
        <v>100</v>
      </c>
      <c r="G302" s="5" t="s">
        <v>386</v>
      </c>
      <c r="H302" s="14" t="n">
        <v>0.499</v>
      </c>
      <c r="I302" s="14" t="n">
        <v>11.98</v>
      </c>
      <c r="J302" s="0" t="n">
        <v>24</v>
      </c>
      <c r="L302" s="0" t="n">
        <v>1</v>
      </c>
      <c r="M302" s="6" t="n">
        <v>11.98</v>
      </c>
      <c r="N302" s="5" t="s">
        <v>77</v>
      </c>
    </row>
    <row r="303" customFormat="false" ht="15" hidden="false" customHeight="false" outlineLevel="0" collapsed="false">
      <c r="A303" s="4" t="n">
        <v>46097</v>
      </c>
      <c r="B303" s="5" t="s">
        <v>27</v>
      </c>
      <c r="C303" s="5" t="s">
        <v>14</v>
      </c>
      <c r="E303" s="5" t="s">
        <v>99</v>
      </c>
      <c r="F303" s="5" t="s">
        <v>100</v>
      </c>
      <c r="G303" s="5" t="s">
        <v>386</v>
      </c>
      <c r="H303" s="14" t="n">
        <v>0.499</v>
      </c>
      <c r="I303" s="14" t="n">
        <v>11.98</v>
      </c>
      <c r="J303" s="0" t="n">
        <v>24</v>
      </c>
      <c r="L303" s="0" t="n">
        <v>1</v>
      </c>
      <c r="M303" s="6" t="n">
        <v>11.98</v>
      </c>
      <c r="N303" s="5" t="s">
        <v>77</v>
      </c>
    </row>
    <row r="304" customFormat="false" ht="15" hidden="false" customHeight="false" outlineLevel="0" collapsed="false">
      <c r="A304" s="4" t="n">
        <v>46097</v>
      </c>
      <c r="B304" s="5" t="s">
        <v>27</v>
      </c>
      <c r="C304" s="5" t="s">
        <v>14</v>
      </c>
      <c r="E304" s="5" t="s">
        <v>140</v>
      </c>
      <c r="F304" s="5" t="s">
        <v>141</v>
      </c>
      <c r="G304" s="5" t="s">
        <v>386</v>
      </c>
      <c r="H304" s="14" t="n">
        <v>0.627</v>
      </c>
      <c r="I304" s="14" t="n">
        <v>15.04</v>
      </c>
      <c r="J304" s="0" t="n">
        <v>24</v>
      </c>
      <c r="L304" s="0" t="n">
        <v>1</v>
      </c>
      <c r="M304" s="6" t="n">
        <v>15.04</v>
      </c>
      <c r="N304" s="5" t="s">
        <v>77</v>
      </c>
    </row>
    <row r="305" customFormat="false" ht="15" hidden="false" customHeight="false" outlineLevel="0" collapsed="false">
      <c r="A305" s="4" t="n">
        <v>46097</v>
      </c>
      <c r="B305" s="5" t="s">
        <v>27</v>
      </c>
      <c r="C305" s="5" t="s">
        <v>14</v>
      </c>
      <c r="E305" s="5" t="s">
        <v>140</v>
      </c>
      <c r="F305" s="5" t="s">
        <v>141</v>
      </c>
      <c r="G305" s="5" t="s">
        <v>386</v>
      </c>
      <c r="H305" s="14" t="n">
        <v>0.627</v>
      </c>
      <c r="I305" s="14" t="n">
        <v>15.04</v>
      </c>
      <c r="J305" s="0" t="n">
        <v>24</v>
      </c>
      <c r="L305" s="0" t="n">
        <v>2</v>
      </c>
      <c r="M305" s="6" t="n">
        <v>30.08</v>
      </c>
      <c r="N305" s="5" t="s">
        <v>77</v>
      </c>
    </row>
    <row r="306" customFormat="false" ht="15" hidden="false" customHeight="false" outlineLevel="0" collapsed="false">
      <c r="A306" s="4" t="n">
        <v>46097</v>
      </c>
      <c r="B306" s="5" t="s">
        <v>27</v>
      </c>
      <c r="C306" s="5" t="s">
        <v>14</v>
      </c>
      <c r="E306" s="5" t="s">
        <v>195</v>
      </c>
      <c r="F306" s="5" t="s">
        <v>196</v>
      </c>
      <c r="G306" s="5" t="s">
        <v>386</v>
      </c>
      <c r="H306" s="14" t="n">
        <v>0.691</v>
      </c>
      <c r="I306" s="14" t="n">
        <v>16.58</v>
      </c>
      <c r="J306" s="0" t="n">
        <v>24</v>
      </c>
      <c r="L306" s="0" t="n">
        <v>2</v>
      </c>
      <c r="M306" s="6" t="n">
        <v>33.16</v>
      </c>
      <c r="N306" s="5" t="s">
        <v>77</v>
      </c>
    </row>
    <row r="307" customFormat="false" ht="15" hidden="false" customHeight="false" outlineLevel="0" collapsed="false">
      <c r="A307" s="4" t="n">
        <v>46097</v>
      </c>
      <c r="B307" s="5" t="s">
        <v>27</v>
      </c>
      <c r="C307" s="5" t="s">
        <v>14</v>
      </c>
      <c r="E307" s="5" t="s">
        <v>107</v>
      </c>
      <c r="F307" s="5" t="s">
        <v>108</v>
      </c>
      <c r="G307" s="5" t="s">
        <v>386</v>
      </c>
      <c r="H307" s="14" t="n">
        <v>0.666</v>
      </c>
      <c r="I307" s="14" t="n">
        <v>15.99</v>
      </c>
      <c r="J307" s="0" t="n">
        <v>24</v>
      </c>
      <c r="L307" s="0" t="n">
        <v>1</v>
      </c>
      <c r="M307" s="6" t="n">
        <v>15.99</v>
      </c>
      <c r="N307" s="5" t="s">
        <v>77</v>
      </c>
    </row>
    <row r="308" customFormat="false" ht="15" hidden="false" customHeight="false" outlineLevel="0" collapsed="false">
      <c r="A308" s="4" t="n">
        <v>46097</v>
      </c>
      <c r="B308" s="5" t="s">
        <v>27</v>
      </c>
      <c r="C308" s="5" t="s">
        <v>14</v>
      </c>
      <c r="E308" s="5" t="s">
        <v>154</v>
      </c>
      <c r="F308" s="5" t="s">
        <v>155</v>
      </c>
      <c r="G308" s="5" t="s">
        <v>386</v>
      </c>
      <c r="H308" s="14" t="n">
        <v>0.501</v>
      </c>
      <c r="I308" s="14" t="n">
        <v>12.02</v>
      </c>
      <c r="J308" s="0" t="n">
        <v>24</v>
      </c>
      <c r="L308" s="0" t="n">
        <v>1</v>
      </c>
      <c r="M308" s="6" t="n">
        <v>12.02</v>
      </c>
      <c r="N308" s="5" t="s">
        <v>77</v>
      </c>
    </row>
    <row r="309" customFormat="false" ht="15" hidden="false" customHeight="false" outlineLevel="0" collapsed="false">
      <c r="A309" s="4" t="n">
        <v>46097</v>
      </c>
      <c r="B309" s="5" t="s">
        <v>27</v>
      </c>
      <c r="C309" s="5" t="s">
        <v>14</v>
      </c>
      <c r="D309" s="5" t="s">
        <v>98</v>
      </c>
      <c r="E309" s="5" t="s">
        <v>92</v>
      </c>
      <c r="F309" s="5" t="s">
        <v>93</v>
      </c>
      <c r="G309" s="5" t="s">
        <v>386</v>
      </c>
      <c r="H309" s="14" t="n">
        <v>0.596</v>
      </c>
      <c r="I309" s="14" t="n">
        <v>14.31</v>
      </c>
      <c r="J309" s="0" t="n">
        <v>24</v>
      </c>
      <c r="L309" s="0" t="n">
        <v>1</v>
      </c>
      <c r="M309" s="6" t="n">
        <v>14.31</v>
      </c>
      <c r="N309" s="5" t="s">
        <v>77</v>
      </c>
    </row>
    <row r="310" customFormat="false" ht="15" hidden="false" customHeight="false" outlineLevel="0" collapsed="false">
      <c r="A310" s="4" t="n">
        <v>46097</v>
      </c>
      <c r="B310" s="5" t="s">
        <v>27</v>
      </c>
      <c r="C310" s="5" t="s">
        <v>14</v>
      </c>
      <c r="D310" s="5" t="s">
        <v>98</v>
      </c>
      <c r="E310" s="5" t="s">
        <v>118</v>
      </c>
      <c r="F310" s="5" t="s">
        <v>119</v>
      </c>
      <c r="G310" s="5" t="s">
        <v>386</v>
      </c>
      <c r="H310" s="14" t="n">
        <v>0.64</v>
      </c>
      <c r="I310" s="14" t="n">
        <v>15.35</v>
      </c>
      <c r="J310" s="0" t="n">
        <v>24</v>
      </c>
      <c r="L310" s="0" t="n">
        <v>1</v>
      </c>
      <c r="M310" s="6" t="n">
        <v>15.35</v>
      </c>
      <c r="N310" s="5" t="s">
        <v>77</v>
      </c>
    </row>
    <row r="311" customFormat="false" ht="15" hidden="false" customHeight="false" outlineLevel="0" collapsed="false">
      <c r="A311" s="4" t="n">
        <v>46097</v>
      </c>
      <c r="B311" s="5" t="s">
        <v>27</v>
      </c>
      <c r="C311" s="5" t="s">
        <v>14</v>
      </c>
      <c r="D311" s="5" t="s">
        <v>98</v>
      </c>
      <c r="E311" s="5" t="s">
        <v>174</v>
      </c>
      <c r="F311" s="5" t="s">
        <v>175</v>
      </c>
      <c r="G311" s="5" t="s">
        <v>386</v>
      </c>
      <c r="H311" s="14" t="n">
        <v>0.857</v>
      </c>
      <c r="I311" s="14" t="n">
        <v>20.57</v>
      </c>
      <c r="J311" s="0" t="n">
        <v>24</v>
      </c>
      <c r="L311" s="0" t="n">
        <v>1</v>
      </c>
      <c r="M311" s="6" t="n">
        <v>20.57</v>
      </c>
      <c r="N311" s="5" t="s">
        <v>115</v>
      </c>
    </row>
    <row r="312" customFormat="false" ht="15" hidden="false" customHeight="false" outlineLevel="0" collapsed="false">
      <c r="A312" s="4" t="n">
        <v>46097</v>
      </c>
      <c r="B312" s="5" t="s">
        <v>27</v>
      </c>
      <c r="C312" s="5" t="s">
        <v>14</v>
      </c>
      <c r="D312" s="5" t="s">
        <v>98</v>
      </c>
      <c r="E312" s="5" t="s">
        <v>74</v>
      </c>
      <c r="F312" s="5" t="s">
        <v>75</v>
      </c>
      <c r="G312" s="5" t="s">
        <v>386</v>
      </c>
      <c r="H312" s="14" t="n">
        <v>0.797</v>
      </c>
      <c r="I312" s="14" t="n">
        <v>23.92</v>
      </c>
      <c r="J312" s="0" t="n">
        <v>30</v>
      </c>
      <c r="L312" s="0" t="n">
        <v>3</v>
      </c>
      <c r="M312" s="6" t="n">
        <v>71.76</v>
      </c>
      <c r="N312" s="5" t="s">
        <v>77</v>
      </c>
    </row>
    <row r="313" customFormat="false" ht="15" hidden="false" customHeight="false" outlineLevel="0" collapsed="false">
      <c r="A313" s="4" t="n">
        <v>46097</v>
      </c>
      <c r="B313" s="5" t="s">
        <v>27</v>
      </c>
      <c r="C313" s="5" t="s">
        <v>14</v>
      </c>
      <c r="D313" s="5" t="s">
        <v>98</v>
      </c>
      <c r="E313" s="5" t="s">
        <v>82</v>
      </c>
      <c r="F313" s="5" t="s">
        <v>83</v>
      </c>
      <c r="G313" s="5" t="s">
        <v>386</v>
      </c>
      <c r="H313" s="14" t="n">
        <v>0.805</v>
      </c>
      <c r="I313" s="14" t="n">
        <v>24.15</v>
      </c>
      <c r="J313" s="0" t="n">
        <v>30</v>
      </c>
      <c r="L313" s="0" t="n">
        <v>5</v>
      </c>
      <c r="M313" s="6" t="n">
        <v>120.75</v>
      </c>
      <c r="N313" s="5" t="s">
        <v>77</v>
      </c>
    </row>
    <row r="314" customFormat="false" ht="15" hidden="false" customHeight="false" outlineLevel="0" collapsed="false">
      <c r="A314" s="4" t="n">
        <v>46097</v>
      </c>
      <c r="B314" s="5" t="s">
        <v>27</v>
      </c>
      <c r="C314" s="5" t="s">
        <v>14</v>
      </c>
      <c r="D314" s="5" t="s">
        <v>98</v>
      </c>
      <c r="E314" s="5" t="s">
        <v>178</v>
      </c>
      <c r="F314" s="5" t="s">
        <v>179</v>
      </c>
      <c r="G314" s="5" t="s">
        <v>386</v>
      </c>
      <c r="H314" s="14" t="n">
        <v>0.73</v>
      </c>
      <c r="I314" s="14" t="n">
        <v>17.53</v>
      </c>
      <c r="J314" s="0" t="n">
        <v>24</v>
      </c>
      <c r="L314" s="0" t="n">
        <v>1</v>
      </c>
      <c r="M314" s="6" t="n">
        <v>17.53</v>
      </c>
      <c r="N314" s="5" t="s">
        <v>115</v>
      </c>
    </row>
    <row r="315" customFormat="false" ht="15" hidden="false" customHeight="false" outlineLevel="0" collapsed="false">
      <c r="A315" s="4" t="n">
        <v>46097</v>
      </c>
      <c r="B315" s="5" t="s">
        <v>27</v>
      </c>
      <c r="C315" s="5" t="s">
        <v>14</v>
      </c>
      <c r="D315" s="5" t="s">
        <v>98</v>
      </c>
      <c r="E315" s="5" t="s">
        <v>113</v>
      </c>
      <c r="F315" s="5" t="s">
        <v>114</v>
      </c>
      <c r="G315" s="5" t="s">
        <v>386</v>
      </c>
      <c r="H315" s="14" t="n">
        <v>0.548</v>
      </c>
      <c r="I315" s="14" t="n">
        <v>13.14</v>
      </c>
      <c r="J315" s="0" t="n">
        <v>24</v>
      </c>
      <c r="L315" s="0" t="n">
        <v>1</v>
      </c>
      <c r="M315" s="6" t="n">
        <v>13.14</v>
      </c>
      <c r="N315" s="5" t="s">
        <v>115</v>
      </c>
    </row>
    <row r="316" customFormat="false" ht="15" hidden="false" customHeight="false" outlineLevel="0" collapsed="false">
      <c r="A316" s="4" t="n">
        <v>46097</v>
      </c>
      <c r="B316" s="5" t="s">
        <v>27</v>
      </c>
      <c r="C316" s="5" t="s">
        <v>14</v>
      </c>
      <c r="D316" s="5" t="s">
        <v>98</v>
      </c>
      <c r="E316" s="5" t="s">
        <v>126</v>
      </c>
      <c r="F316" s="5" t="s">
        <v>127</v>
      </c>
      <c r="G316" s="5" t="s">
        <v>386</v>
      </c>
      <c r="H316" s="14" t="n">
        <v>0.526</v>
      </c>
      <c r="I316" s="14" t="n">
        <v>16.84</v>
      </c>
      <c r="J316" s="0" t="n">
        <v>32</v>
      </c>
      <c r="L316" s="0" t="n">
        <v>1</v>
      </c>
      <c r="M316" s="6" t="n">
        <v>16.84</v>
      </c>
      <c r="N316" s="5" t="s">
        <v>77</v>
      </c>
    </row>
    <row r="317" customFormat="false" ht="15" hidden="false" customHeight="false" outlineLevel="0" collapsed="false">
      <c r="A317" s="4" t="n">
        <v>46097</v>
      </c>
      <c r="B317" s="5" t="s">
        <v>27</v>
      </c>
      <c r="C317" s="5" t="s">
        <v>14</v>
      </c>
      <c r="D317" s="5" t="s">
        <v>98</v>
      </c>
      <c r="E317" s="5" t="s">
        <v>130</v>
      </c>
      <c r="F317" s="5" t="s">
        <v>131</v>
      </c>
      <c r="G317" s="5" t="s">
        <v>386</v>
      </c>
      <c r="H317" s="14" t="n">
        <v>1.113</v>
      </c>
      <c r="I317" s="14" t="n">
        <v>4.45</v>
      </c>
      <c r="J317" s="0" t="n">
        <v>4</v>
      </c>
      <c r="L317" s="0" t="n">
        <v>3</v>
      </c>
      <c r="M317" s="6" t="n">
        <v>13.35</v>
      </c>
      <c r="N317" s="5" t="s">
        <v>77</v>
      </c>
    </row>
    <row r="318" customFormat="false" ht="15" hidden="false" customHeight="false" outlineLevel="0" collapsed="false">
      <c r="A318" s="4" t="n">
        <v>46097</v>
      </c>
      <c r="B318" s="5" t="s">
        <v>27</v>
      </c>
      <c r="C318" s="5" t="s">
        <v>14</v>
      </c>
      <c r="D318" s="5" t="s">
        <v>98</v>
      </c>
      <c r="E318" s="5" t="s">
        <v>116</v>
      </c>
      <c r="F318" s="5" t="s">
        <v>117</v>
      </c>
      <c r="G318" s="5" t="s">
        <v>386</v>
      </c>
      <c r="H318" s="14" t="n">
        <v>1.496</v>
      </c>
      <c r="I318" s="14" t="n">
        <v>13.46</v>
      </c>
      <c r="J318" s="0" t="n">
        <v>9</v>
      </c>
      <c r="L318" s="0" t="n">
        <v>2</v>
      </c>
      <c r="M318" s="6" t="n">
        <v>26.92</v>
      </c>
      <c r="N318" s="5" t="s">
        <v>77</v>
      </c>
    </row>
    <row r="319" customFormat="false" ht="15" hidden="false" customHeight="false" outlineLevel="0" collapsed="false">
      <c r="A319" s="4" t="n">
        <v>46097</v>
      </c>
      <c r="B319" s="5" t="s">
        <v>27</v>
      </c>
      <c r="C319" s="5" t="s">
        <v>14</v>
      </c>
      <c r="D319" s="5" t="s">
        <v>98</v>
      </c>
      <c r="E319" s="5" t="s">
        <v>156</v>
      </c>
      <c r="F319" s="5" t="s">
        <v>157</v>
      </c>
      <c r="G319" s="5" t="s">
        <v>78</v>
      </c>
      <c r="H319" s="14" t="n">
        <v>3.58</v>
      </c>
      <c r="I319" s="14" t="n">
        <v>3.58</v>
      </c>
      <c r="J319" s="0" t="n">
        <v>1</v>
      </c>
      <c r="L319" s="0" t="n">
        <v>3</v>
      </c>
      <c r="M319" s="6" t="n">
        <v>10.74</v>
      </c>
      <c r="N319" s="5" t="s">
        <v>77</v>
      </c>
    </row>
    <row r="320" customFormat="false" ht="15" hidden="false" customHeight="false" outlineLevel="0" collapsed="false">
      <c r="A320" s="21" t="n">
        <v>46097</v>
      </c>
      <c r="B320" s="22" t="s">
        <v>27</v>
      </c>
      <c r="C320" s="22" t="s">
        <v>14</v>
      </c>
      <c r="D320" s="22" t="s">
        <v>98</v>
      </c>
      <c r="E320" s="22" t="s">
        <v>124</v>
      </c>
      <c r="F320" s="22" t="s">
        <v>125</v>
      </c>
      <c r="G320" s="22" t="s">
        <v>386</v>
      </c>
      <c r="H320" s="16" t="n">
        <v>0.401</v>
      </c>
      <c r="I320" s="16" t="n">
        <v>8.02</v>
      </c>
      <c r="J320" s="22" t="n">
        <v>20</v>
      </c>
      <c r="K320" s="22"/>
      <c r="L320" s="22" t="n">
        <v>2</v>
      </c>
      <c r="M320" s="23" t="n">
        <v>16.04</v>
      </c>
      <c r="N320" s="22" t="s">
        <v>77</v>
      </c>
      <c r="O320" s="22" t="s">
        <v>387</v>
      </c>
    </row>
    <row r="321" customFormat="false" ht="15" hidden="false" customHeight="false" outlineLevel="0" collapsed="false">
      <c r="A321" s="4" t="n">
        <v>46097</v>
      </c>
      <c r="B321" s="5" t="s">
        <v>27</v>
      </c>
      <c r="C321" s="5" t="s">
        <v>14</v>
      </c>
      <c r="D321" s="5" t="s">
        <v>98</v>
      </c>
      <c r="E321" s="5" t="s">
        <v>94</v>
      </c>
      <c r="F321" s="5" t="s">
        <v>95</v>
      </c>
      <c r="G321" s="5" t="s">
        <v>386</v>
      </c>
      <c r="H321" s="14" t="n">
        <v>0.795</v>
      </c>
      <c r="I321" s="14" t="n">
        <v>19.08</v>
      </c>
      <c r="J321" s="0" t="n">
        <v>24</v>
      </c>
      <c r="L321" s="0" t="n">
        <v>1</v>
      </c>
      <c r="M321" s="6" t="n">
        <v>19.08</v>
      </c>
      <c r="N321" s="5" t="s">
        <v>77</v>
      </c>
    </row>
    <row r="322" customFormat="false" ht="15" hidden="false" customHeight="false" outlineLevel="0" collapsed="false">
      <c r="A322" s="4" t="n">
        <v>46097</v>
      </c>
      <c r="B322" s="5" t="s">
        <v>27</v>
      </c>
      <c r="C322" s="5" t="s">
        <v>14</v>
      </c>
      <c r="D322" s="5" t="s">
        <v>98</v>
      </c>
      <c r="E322" s="5" t="s">
        <v>96</v>
      </c>
      <c r="F322" s="5" t="s">
        <v>97</v>
      </c>
      <c r="G322" s="5" t="s">
        <v>386</v>
      </c>
      <c r="H322" s="14" t="n">
        <v>0.748</v>
      </c>
      <c r="I322" s="14" t="n">
        <v>17.96</v>
      </c>
      <c r="J322" s="0" t="n">
        <v>24</v>
      </c>
      <c r="L322" s="0" t="n">
        <v>8</v>
      </c>
      <c r="M322" s="6" t="n">
        <v>143.68</v>
      </c>
      <c r="N322" s="5" t="s">
        <v>77</v>
      </c>
    </row>
    <row r="323" customFormat="false" ht="15" hidden="false" customHeight="false" outlineLevel="0" collapsed="false">
      <c r="A323" s="4" t="n">
        <v>46097</v>
      </c>
      <c r="B323" s="5" t="s">
        <v>27</v>
      </c>
      <c r="C323" s="5" t="s">
        <v>14</v>
      </c>
      <c r="D323" s="5" t="s">
        <v>98</v>
      </c>
      <c r="E323" s="5" t="s">
        <v>222</v>
      </c>
      <c r="F323" s="5" t="s">
        <v>223</v>
      </c>
      <c r="G323" s="5" t="s">
        <v>78</v>
      </c>
      <c r="H323" s="14" t="n">
        <v>25.73</v>
      </c>
      <c r="I323" s="14" t="n">
        <v>25.73</v>
      </c>
      <c r="J323" s="0" t="n">
        <v>1</v>
      </c>
      <c r="L323" s="0" t="n">
        <v>2</v>
      </c>
      <c r="M323" s="6" t="n">
        <v>51.46</v>
      </c>
      <c r="N323" s="5" t="s">
        <v>115</v>
      </c>
    </row>
    <row r="324" customFormat="false" ht="15" hidden="false" customHeight="false" outlineLevel="0" collapsed="false">
      <c r="A324" s="4" t="n">
        <v>46097</v>
      </c>
      <c r="B324" s="5" t="s">
        <v>27</v>
      </c>
      <c r="C324" s="5" t="s">
        <v>14</v>
      </c>
      <c r="D324" s="5" t="s">
        <v>81</v>
      </c>
      <c r="E324" s="5" t="s">
        <v>189</v>
      </c>
      <c r="F324" s="5" t="s">
        <v>190</v>
      </c>
      <c r="G324" s="5" t="s">
        <v>78</v>
      </c>
      <c r="H324" s="14" t="n">
        <v>2.65</v>
      </c>
      <c r="I324" s="14" t="n">
        <v>2.65</v>
      </c>
      <c r="J324" s="0" t="n">
        <v>1</v>
      </c>
      <c r="L324" s="0" t="n">
        <v>12</v>
      </c>
      <c r="M324" s="6" t="n">
        <v>31.8</v>
      </c>
      <c r="N324" s="5" t="s">
        <v>77</v>
      </c>
    </row>
    <row r="325" customFormat="false" ht="15" hidden="false" customHeight="false" outlineLevel="0" collapsed="false">
      <c r="A325" s="4" t="n">
        <v>46097</v>
      </c>
      <c r="B325" s="5" t="s">
        <v>27</v>
      </c>
      <c r="C325" s="5" t="s">
        <v>14</v>
      </c>
      <c r="D325" s="5" t="s">
        <v>81</v>
      </c>
      <c r="E325" s="5" t="s">
        <v>186</v>
      </c>
      <c r="F325" s="5" t="s">
        <v>187</v>
      </c>
      <c r="G325" s="5" t="s">
        <v>386</v>
      </c>
      <c r="H325" s="14" t="n">
        <v>0.872</v>
      </c>
      <c r="I325" s="14" t="n">
        <v>5.23</v>
      </c>
      <c r="J325" s="0" t="n">
        <v>6</v>
      </c>
      <c r="L325" s="0" t="n">
        <v>4</v>
      </c>
      <c r="M325" s="6" t="n">
        <v>20.92</v>
      </c>
      <c r="N325" s="5" t="s">
        <v>77</v>
      </c>
    </row>
    <row r="326" customFormat="false" ht="15" hidden="false" customHeight="false" outlineLevel="0" collapsed="false">
      <c r="A326" s="4" t="n">
        <v>46097</v>
      </c>
      <c r="B326" s="5" t="s">
        <v>27</v>
      </c>
      <c r="C326" s="5" t="s">
        <v>14</v>
      </c>
      <c r="D326" s="5" t="s">
        <v>160</v>
      </c>
      <c r="E326" s="5" t="s">
        <v>210</v>
      </c>
      <c r="F326" s="5" t="s">
        <v>211</v>
      </c>
      <c r="G326" s="5" t="s">
        <v>78</v>
      </c>
      <c r="H326" s="14" t="n">
        <v>12.87</v>
      </c>
      <c r="I326" s="14" t="n">
        <v>12.87</v>
      </c>
      <c r="J326" s="0" t="n">
        <v>1</v>
      </c>
      <c r="L326" s="0" t="n">
        <v>1</v>
      </c>
      <c r="M326" s="6" t="n">
        <v>12.87</v>
      </c>
      <c r="N326" s="5" t="s">
        <v>77</v>
      </c>
    </row>
    <row r="327" customFormat="false" ht="15" hidden="false" customHeight="false" outlineLevel="0" collapsed="false">
      <c r="A327" s="4" t="n">
        <v>46097</v>
      </c>
      <c r="B327" s="5" t="s">
        <v>27</v>
      </c>
      <c r="C327" s="5" t="s">
        <v>14</v>
      </c>
      <c r="D327" s="5" t="s">
        <v>328</v>
      </c>
      <c r="E327" s="5" t="s">
        <v>335</v>
      </c>
      <c r="F327" s="5" t="s">
        <v>336</v>
      </c>
      <c r="G327" s="5" t="s">
        <v>78</v>
      </c>
      <c r="H327" s="14" t="n">
        <v>4.74</v>
      </c>
      <c r="I327" s="14" t="n">
        <v>4.74</v>
      </c>
      <c r="J327" s="0" t="n">
        <v>1</v>
      </c>
      <c r="L327" s="0" t="n">
        <v>1</v>
      </c>
      <c r="M327" s="6" t="n">
        <v>4.74</v>
      </c>
      <c r="N327" s="5" t="s">
        <v>115</v>
      </c>
    </row>
    <row r="328" customFormat="false" ht="15" hidden="false" customHeight="false" outlineLevel="0" collapsed="false">
      <c r="A328" s="4" t="n">
        <v>46097</v>
      </c>
      <c r="B328" s="5" t="s">
        <v>27</v>
      </c>
      <c r="C328" s="5" t="s">
        <v>14</v>
      </c>
      <c r="D328" s="5" t="s">
        <v>328</v>
      </c>
      <c r="E328" s="5" t="s">
        <v>197</v>
      </c>
      <c r="F328" s="5" t="s">
        <v>198</v>
      </c>
      <c r="G328" s="5" t="s">
        <v>78</v>
      </c>
      <c r="H328" s="14" t="n">
        <v>1.32</v>
      </c>
      <c r="I328" s="14" t="n">
        <v>1.32</v>
      </c>
      <c r="J328" s="0" t="n">
        <v>1</v>
      </c>
      <c r="L328" s="0" t="n">
        <v>5</v>
      </c>
      <c r="M328" s="6" t="n">
        <v>6.6</v>
      </c>
      <c r="N328" s="5" t="s">
        <v>115</v>
      </c>
    </row>
    <row r="329" customFormat="false" ht="15" hidden="false" customHeight="false" outlineLevel="0" collapsed="false">
      <c r="A329" s="4" t="n">
        <v>46105</v>
      </c>
      <c r="B329" s="5" t="s">
        <v>28</v>
      </c>
      <c r="C329" s="5" t="s">
        <v>29</v>
      </c>
      <c r="E329" s="5" t="s">
        <v>74</v>
      </c>
      <c r="F329" s="5" t="s">
        <v>75</v>
      </c>
      <c r="G329" s="5" t="s">
        <v>386</v>
      </c>
      <c r="H329" s="14" t="n">
        <v>0.798</v>
      </c>
      <c r="I329" s="14" t="n">
        <v>23.93</v>
      </c>
      <c r="J329" s="0" t="n">
        <v>30</v>
      </c>
      <c r="L329" s="0" t="n">
        <v>1</v>
      </c>
      <c r="M329" s="6" t="n">
        <v>23.93</v>
      </c>
      <c r="N329" s="5" t="s">
        <v>77</v>
      </c>
    </row>
    <row r="330" customFormat="false" ht="15" hidden="false" customHeight="false" outlineLevel="0" collapsed="false">
      <c r="A330" s="4" t="n">
        <v>46105</v>
      </c>
      <c r="B330" s="5" t="s">
        <v>28</v>
      </c>
      <c r="C330" s="5" t="s">
        <v>29</v>
      </c>
      <c r="E330" s="5" t="s">
        <v>222</v>
      </c>
      <c r="F330" s="5" t="s">
        <v>223</v>
      </c>
      <c r="G330" s="5" t="s">
        <v>78</v>
      </c>
      <c r="H330" s="14" t="n">
        <v>25.73</v>
      </c>
      <c r="I330" s="14" t="n">
        <v>25.73</v>
      </c>
      <c r="J330" s="0" t="n">
        <v>1</v>
      </c>
      <c r="L330" s="0" t="n">
        <v>1</v>
      </c>
      <c r="M330" s="6" t="n">
        <v>25.73</v>
      </c>
      <c r="N330" s="5" t="s">
        <v>115</v>
      </c>
    </row>
    <row r="331" customFormat="false" ht="15" hidden="false" customHeight="false" outlineLevel="0" collapsed="false">
      <c r="A331" s="21" t="n">
        <v>46105</v>
      </c>
      <c r="B331" s="22" t="s">
        <v>28</v>
      </c>
      <c r="C331" s="22" t="s">
        <v>29</v>
      </c>
      <c r="D331" s="22" t="s">
        <v>81</v>
      </c>
      <c r="E331" s="22" t="s">
        <v>150</v>
      </c>
      <c r="F331" s="22" t="s">
        <v>151</v>
      </c>
      <c r="G331" s="22" t="s">
        <v>386</v>
      </c>
      <c r="H331" s="16" t="n">
        <v>0.675</v>
      </c>
      <c r="I331" s="16" t="n">
        <v>16.2</v>
      </c>
      <c r="J331" s="22" t="n">
        <v>24</v>
      </c>
      <c r="K331" s="22"/>
      <c r="L331" s="22" t="n">
        <v>2</v>
      </c>
      <c r="M331" s="23" t="n">
        <v>32.4</v>
      </c>
      <c r="N331" s="22" t="s">
        <v>77</v>
      </c>
      <c r="O331" s="22" t="s">
        <v>387</v>
      </c>
    </row>
    <row r="332" customFormat="false" ht="15" hidden="false" customHeight="false" outlineLevel="0" collapsed="false">
      <c r="A332" s="21" t="n">
        <v>46105</v>
      </c>
      <c r="B332" s="22" t="s">
        <v>28</v>
      </c>
      <c r="C332" s="22" t="s">
        <v>29</v>
      </c>
      <c r="D332" s="22" t="s">
        <v>81</v>
      </c>
      <c r="E332" s="22" t="s">
        <v>84</v>
      </c>
      <c r="F332" s="22" t="s">
        <v>85</v>
      </c>
      <c r="G332" s="22" t="s">
        <v>386</v>
      </c>
      <c r="H332" s="16" t="n">
        <v>1.226</v>
      </c>
      <c r="I332" s="16" t="n">
        <v>14.71</v>
      </c>
      <c r="J332" s="22" t="n">
        <v>12</v>
      </c>
      <c r="K332" s="22"/>
      <c r="L332" s="22" t="n">
        <v>4</v>
      </c>
      <c r="M332" s="23" t="n">
        <v>58.84</v>
      </c>
      <c r="N332" s="22" t="s">
        <v>77</v>
      </c>
      <c r="O332" s="22" t="s">
        <v>387</v>
      </c>
    </row>
    <row r="333" customFormat="false" ht="15" hidden="false" customHeight="false" outlineLevel="0" collapsed="false">
      <c r="A333" s="21" t="n">
        <v>46105</v>
      </c>
      <c r="B333" s="22" t="s">
        <v>28</v>
      </c>
      <c r="C333" s="22" t="s">
        <v>29</v>
      </c>
      <c r="D333" s="22" t="s">
        <v>81</v>
      </c>
      <c r="E333" s="22" t="s">
        <v>86</v>
      </c>
      <c r="F333" s="22" t="s">
        <v>87</v>
      </c>
      <c r="G333" s="22" t="s">
        <v>386</v>
      </c>
      <c r="H333" s="16" t="n">
        <v>1.228</v>
      </c>
      <c r="I333" s="16" t="n">
        <v>14.73</v>
      </c>
      <c r="J333" s="22" t="n">
        <v>12</v>
      </c>
      <c r="K333" s="22"/>
      <c r="L333" s="22" t="n">
        <v>4</v>
      </c>
      <c r="M333" s="23" t="n">
        <v>58.92</v>
      </c>
      <c r="N333" s="22" t="s">
        <v>77</v>
      </c>
      <c r="O333" s="22" t="s">
        <v>387</v>
      </c>
    </row>
    <row r="334" customFormat="false" ht="15" hidden="false" customHeight="false" outlineLevel="0" collapsed="false">
      <c r="A334" s="21" t="n">
        <v>46105</v>
      </c>
      <c r="B334" s="22" t="s">
        <v>28</v>
      </c>
      <c r="C334" s="22" t="s">
        <v>29</v>
      </c>
      <c r="D334" s="22" t="s">
        <v>81</v>
      </c>
      <c r="E334" s="22" t="s">
        <v>88</v>
      </c>
      <c r="F334" s="22" t="s">
        <v>89</v>
      </c>
      <c r="G334" s="22" t="s">
        <v>386</v>
      </c>
      <c r="H334" s="16" t="n">
        <v>1.073</v>
      </c>
      <c r="I334" s="16" t="n">
        <v>12.88</v>
      </c>
      <c r="J334" s="22" t="n">
        <v>12</v>
      </c>
      <c r="K334" s="22"/>
      <c r="L334" s="22" t="n">
        <v>4</v>
      </c>
      <c r="M334" s="23" t="n">
        <v>51.52</v>
      </c>
      <c r="N334" s="22" t="s">
        <v>77</v>
      </c>
      <c r="O334" s="22" t="s">
        <v>387</v>
      </c>
    </row>
    <row r="335" customFormat="false" ht="15" hidden="false" customHeight="false" outlineLevel="0" collapsed="false">
      <c r="A335" s="4" t="n">
        <v>46105</v>
      </c>
      <c r="B335" s="5" t="s">
        <v>28</v>
      </c>
      <c r="C335" s="5" t="s">
        <v>29</v>
      </c>
      <c r="D335" s="5" t="s">
        <v>81</v>
      </c>
      <c r="E335" s="5" t="s">
        <v>134</v>
      </c>
      <c r="F335" s="5" t="s">
        <v>135</v>
      </c>
      <c r="G335" s="5" t="s">
        <v>386</v>
      </c>
      <c r="H335" s="14" t="n">
        <v>0.643</v>
      </c>
      <c r="I335" s="14" t="n">
        <v>15.42</v>
      </c>
      <c r="J335" s="0" t="n">
        <v>24</v>
      </c>
      <c r="L335" s="0" t="n">
        <v>1</v>
      </c>
      <c r="M335" s="6" t="n">
        <v>15.42</v>
      </c>
      <c r="N335" s="5" t="s">
        <v>77</v>
      </c>
    </row>
    <row r="336" customFormat="false" ht="15" hidden="false" customHeight="false" outlineLevel="0" collapsed="false">
      <c r="A336" s="4" t="n">
        <v>46105</v>
      </c>
      <c r="B336" s="5" t="s">
        <v>28</v>
      </c>
      <c r="C336" s="5" t="s">
        <v>29</v>
      </c>
      <c r="D336" s="5" t="s">
        <v>81</v>
      </c>
      <c r="E336" s="5" t="s">
        <v>79</v>
      </c>
      <c r="F336" s="5" t="s">
        <v>80</v>
      </c>
      <c r="G336" s="5" t="s">
        <v>386</v>
      </c>
      <c r="H336" s="14" t="n">
        <v>0.559</v>
      </c>
      <c r="I336" s="14" t="n">
        <v>13.42</v>
      </c>
      <c r="J336" s="0" t="n">
        <v>24</v>
      </c>
      <c r="L336" s="0" t="n">
        <v>1</v>
      </c>
      <c r="M336" s="6" t="n">
        <v>13.42</v>
      </c>
      <c r="N336" s="5" t="s">
        <v>77</v>
      </c>
    </row>
    <row r="337" customFormat="false" ht="15" hidden="false" customHeight="false" outlineLevel="0" collapsed="false">
      <c r="A337" s="21" t="n">
        <v>46105</v>
      </c>
      <c r="B337" s="22" t="s">
        <v>28</v>
      </c>
      <c r="C337" s="22" t="s">
        <v>29</v>
      </c>
      <c r="D337" s="22" t="s">
        <v>81</v>
      </c>
      <c r="E337" s="22" t="s">
        <v>136</v>
      </c>
      <c r="F337" s="22" t="s">
        <v>137</v>
      </c>
      <c r="G337" s="22" t="s">
        <v>386</v>
      </c>
      <c r="H337" s="16" t="n">
        <v>0.609</v>
      </c>
      <c r="I337" s="16" t="n">
        <v>14.61</v>
      </c>
      <c r="J337" s="22" t="n">
        <v>24</v>
      </c>
      <c r="K337" s="22"/>
      <c r="L337" s="22" t="n">
        <v>3</v>
      </c>
      <c r="M337" s="23" t="n">
        <v>43.83</v>
      </c>
      <c r="N337" s="22" t="s">
        <v>77</v>
      </c>
      <c r="O337" s="22" t="s">
        <v>387</v>
      </c>
    </row>
    <row r="338" customFormat="false" ht="15" hidden="false" customHeight="false" outlineLevel="0" collapsed="false">
      <c r="A338" s="4" t="n">
        <v>46105</v>
      </c>
      <c r="B338" s="5" t="s">
        <v>28</v>
      </c>
      <c r="C338" s="5" t="s">
        <v>29</v>
      </c>
      <c r="D338" s="5" t="s">
        <v>81</v>
      </c>
      <c r="E338" s="5" t="s">
        <v>144</v>
      </c>
      <c r="F338" s="5" t="s">
        <v>145</v>
      </c>
      <c r="G338" s="5" t="s">
        <v>386</v>
      </c>
      <c r="H338" s="14" t="n">
        <v>0.571</v>
      </c>
      <c r="I338" s="14" t="n">
        <v>13.71</v>
      </c>
      <c r="J338" s="0" t="n">
        <v>24</v>
      </c>
      <c r="L338" s="0" t="n">
        <v>1</v>
      </c>
      <c r="M338" s="6" t="n">
        <v>13.71</v>
      </c>
      <c r="N338" s="5" t="s">
        <v>77</v>
      </c>
    </row>
    <row r="339" customFormat="false" ht="15" hidden="false" customHeight="false" outlineLevel="0" collapsed="false">
      <c r="A339" s="4" t="n">
        <v>46105</v>
      </c>
      <c r="B339" s="5" t="s">
        <v>28</v>
      </c>
      <c r="C339" s="5" t="s">
        <v>29</v>
      </c>
      <c r="D339" s="5" t="s">
        <v>98</v>
      </c>
      <c r="E339" s="5" t="s">
        <v>186</v>
      </c>
      <c r="F339" s="5" t="s">
        <v>187</v>
      </c>
      <c r="G339" s="5" t="s">
        <v>386</v>
      </c>
      <c r="H339" s="14" t="n">
        <v>0.872</v>
      </c>
      <c r="I339" s="14" t="n">
        <v>5.23</v>
      </c>
      <c r="J339" s="0" t="n">
        <v>6</v>
      </c>
      <c r="L339" s="0" t="n">
        <v>10</v>
      </c>
      <c r="M339" s="6" t="n">
        <v>52.3</v>
      </c>
      <c r="N339" s="5" t="s">
        <v>77</v>
      </c>
    </row>
    <row r="340" customFormat="false" ht="15" hidden="false" customHeight="false" outlineLevel="0" collapsed="false">
      <c r="A340" s="4" t="n">
        <v>46120</v>
      </c>
      <c r="B340" s="5" t="s">
        <v>30</v>
      </c>
      <c r="C340" s="5" t="s">
        <v>12</v>
      </c>
      <c r="E340" s="5" t="s">
        <v>365</v>
      </c>
      <c r="F340" s="5" t="s">
        <v>366</v>
      </c>
      <c r="G340" s="5" t="s">
        <v>78</v>
      </c>
      <c r="H340" s="14" t="n">
        <v>19.99</v>
      </c>
      <c r="I340" s="14" t="n">
        <v>19.99</v>
      </c>
      <c r="J340" s="0" t="n">
        <v>1</v>
      </c>
      <c r="L340" s="0" t="n">
        <v>1</v>
      </c>
      <c r="M340" s="6" t="n">
        <v>19.99</v>
      </c>
      <c r="N340" s="5" t="s">
        <v>77</v>
      </c>
    </row>
    <row r="341" customFormat="false" ht="15" hidden="false" customHeight="false" outlineLevel="0" collapsed="false">
      <c r="A341" s="4" t="n">
        <v>46120</v>
      </c>
      <c r="B341" s="5" t="s">
        <v>30</v>
      </c>
      <c r="C341" s="5" t="s">
        <v>12</v>
      </c>
      <c r="D341" s="5" t="s">
        <v>81</v>
      </c>
      <c r="E341" s="5" t="s">
        <v>313</v>
      </c>
      <c r="F341" s="5" t="s">
        <v>314</v>
      </c>
      <c r="G341" s="5" t="s">
        <v>312</v>
      </c>
      <c r="H341" s="14" t="n">
        <v>7.89</v>
      </c>
      <c r="I341" s="14" t="n">
        <v>7.89</v>
      </c>
      <c r="K341" s="14" t="n">
        <v>1.722</v>
      </c>
      <c r="L341" s="0" t="n">
        <v>1</v>
      </c>
      <c r="M341" s="6" t="n">
        <v>13.59</v>
      </c>
      <c r="N341" s="5" t="s">
        <v>77</v>
      </c>
    </row>
    <row r="342" customFormat="false" ht="15" hidden="false" customHeight="false" outlineLevel="0" collapsed="false">
      <c r="A342" s="4" t="n">
        <v>46120</v>
      </c>
      <c r="B342" s="5" t="s">
        <v>30</v>
      </c>
      <c r="C342" s="5" t="s">
        <v>12</v>
      </c>
      <c r="D342" s="5" t="s">
        <v>81</v>
      </c>
      <c r="E342" s="5" t="s">
        <v>313</v>
      </c>
      <c r="F342" s="5" t="s">
        <v>314</v>
      </c>
      <c r="G342" s="5" t="s">
        <v>312</v>
      </c>
      <c r="H342" s="14" t="n">
        <v>7.89</v>
      </c>
      <c r="I342" s="14" t="n">
        <v>7.89</v>
      </c>
      <c r="K342" s="14" t="n">
        <v>1.722</v>
      </c>
      <c r="L342" s="0" t="n">
        <v>1</v>
      </c>
      <c r="M342" s="6" t="n">
        <v>13.59</v>
      </c>
      <c r="N342" s="5" t="s">
        <v>77</v>
      </c>
    </row>
    <row r="343" customFormat="false" ht="15" hidden="false" customHeight="false" outlineLevel="0" collapsed="false">
      <c r="A343" s="4" t="n">
        <v>46120</v>
      </c>
      <c r="B343" s="5" t="s">
        <v>30</v>
      </c>
      <c r="C343" s="5" t="s">
        <v>12</v>
      </c>
      <c r="D343" s="5" t="s">
        <v>81</v>
      </c>
      <c r="E343" s="5" t="s">
        <v>319</v>
      </c>
      <c r="F343" s="5" t="s">
        <v>320</v>
      </c>
      <c r="G343" s="5" t="s">
        <v>312</v>
      </c>
      <c r="H343" s="14" t="n">
        <v>9.29</v>
      </c>
      <c r="I343" s="14" t="n">
        <v>9.29</v>
      </c>
      <c r="K343" s="14" t="n">
        <v>1.678</v>
      </c>
      <c r="L343" s="0" t="n">
        <v>1</v>
      </c>
      <c r="M343" s="6" t="n">
        <v>15.59</v>
      </c>
      <c r="N343" s="5" t="s">
        <v>77</v>
      </c>
    </row>
    <row r="344" customFormat="false" ht="15" hidden="false" customHeight="false" outlineLevel="0" collapsed="false">
      <c r="A344" s="4" t="n">
        <v>46120</v>
      </c>
      <c r="B344" s="5" t="s">
        <v>30</v>
      </c>
      <c r="C344" s="5" t="s">
        <v>12</v>
      </c>
      <c r="D344" s="5" t="s">
        <v>81</v>
      </c>
      <c r="E344" s="5" t="s">
        <v>319</v>
      </c>
      <c r="F344" s="5" t="s">
        <v>320</v>
      </c>
      <c r="G344" s="5" t="s">
        <v>312</v>
      </c>
      <c r="H344" s="14" t="n">
        <v>9.29</v>
      </c>
      <c r="I344" s="14" t="n">
        <v>9.29</v>
      </c>
      <c r="K344" s="14" t="n">
        <v>1.678</v>
      </c>
      <c r="L344" s="0" t="n">
        <v>1</v>
      </c>
      <c r="M344" s="6" t="n">
        <v>15.59</v>
      </c>
      <c r="N344" s="5" t="s">
        <v>77</v>
      </c>
    </row>
    <row r="345" customFormat="false" ht="15" hidden="false" customHeight="false" outlineLevel="0" collapsed="false">
      <c r="A345" s="4" t="n">
        <v>46120</v>
      </c>
      <c r="B345" s="5" t="s">
        <v>30</v>
      </c>
      <c r="C345" s="5" t="s">
        <v>12</v>
      </c>
      <c r="D345" s="5" t="s">
        <v>81</v>
      </c>
      <c r="E345" s="5" t="s">
        <v>310</v>
      </c>
      <c r="F345" s="5" t="s">
        <v>311</v>
      </c>
      <c r="G345" s="5" t="s">
        <v>312</v>
      </c>
      <c r="H345" s="14" t="n">
        <v>7.19</v>
      </c>
      <c r="I345" s="14" t="n">
        <v>7.19</v>
      </c>
      <c r="K345" s="14" t="n">
        <v>1.61</v>
      </c>
      <c r="L345" s="0" t="n">
        <v>1</v>
      </c>
      <c r="M345" s="6" t="n">
        <v>11.58</v>
      </c>
      <c r="N345" s="5" t="s">
        <v>77</v>
      </c>
    </row>
    <row r="346" customFormat="false" ht="15" hidden="false" customHeight="false" outlineLevel="0" collapsed="false">
      <c r="A346" s="4" t="n">
        <v>46120</v>
      </c>
      <c r="B346" s="5" t="s">
        <v>30</v>
      </c>
      <c r="C346" s="5" t="s">
        <v>12</v>
      </c>
      <c r="D346" s="5" t="s">
        <v>81</v>
      </c>
      <c r="E346" s="5" t="s">
        <v>310</v>
      </c>
      <c r="F346" s="5" t="s">
        <v>311</v>
      </c>
      <c r="G346" s="5" t="s">
        <v>312</v>
      </c>
      <c r="H346" s="14" t="n">
        <v>7.19</v>
      </c>
      <c r="I346" s="14" t="n">
        <v>7.19</v>
      </c>
      <c r="K346" s="14" t="n">
        <v>1.696</v>
      </c>
      <c r="L346" s="0" t="n">
        <v>1</v>
      </c>
      <c r="M346" s="6" t="n">
        <v>12.19</v>
      </c>
      <c r="N346" s="5" t="s">
        <v>77</v>
      </c>
    </row>
    <row r="347" customFormat="false" ht="15" hidden="false" customHeight="false" outlineLevel="0" collapsed="false">
      <c r="A347" s="4" t="n">
        <v>46120</v>
      </c>
      <c r="B347" s="5" t="s">
        <v>30</v>
      </c>
      <c r="C347" s="5" t="s">
        <v>12</v>
      </c>
      <c r="D347" s="5" t="s">
        <v>214</v>
      </c>
      <c r="E347" s="5" t="s">
        <v>212</v>
      </c>
      <c r="F347" s="5" t="s">
        <v>213</v>
      </c>
      <c r="G347" s="5" t="s">
        <v>78</v>
      </c>
      <c r="H347" s="14" t="n">
        <v>2.36</v>
      </c>
      <c r="I347" s="14" t="n">
        <v>2.36</v>
      </c>
      <c r="J347" s="0" t="n">
        <v>1</v>
      </c>
      <c r="L347" s="0" t="n">
        <v>2</v>
      </c>
      <c r="M347" s="6" t="n">
        <v>4.72</v>
      </c>
      <c r="N347" s="5" t="s">
        <v>115</v>
      </c>
    </row>
    <row r="348" customFormat="false" ht="15" hidden="false" customHeight="false" outlineLevel="0" collapsed="false">
      <c r="A348" s="4" t="n">
        <v>46120</v>
      </c>
      <c r="B348" s="5" t="s">
        <v>30</v>
      </c>
      <c r="C348" s="5" t="s">
        <v>12</v>
      </c>
      <c r="D348" s="5" t="s">
        <v>214</v>
      </c>
      <c r="E348" s="5" t="s">
        <v>215</v>
      </c>
      <c r="F348" s="5" t="s">
        <v>216</v>
      </c>
      <c r="G348" s="5" t="s">
        <v>78</v>
      </c>
      <c r="H348" s="14" t="n">
        <v>2.92</v>
      </c>
      <c r="I348" s="14" t="n">
        <v>2.92</v>
      </c>
      <c r="J348" s="0" t="n">
        <v>1</v>
      </c>
      <c r="L348" s="0" t="n">
        <v>2</v>
      </c>
      <c r="M348" s="6" t="n">
        <v>5.84</v>
      </c>
      <c r="N348" s="5" t="s">
        <v>115</v>
      </c>
    </row>
    <row r="349" customFormat="false" ht="15" hidden="false" customHeight="false" outlineLevel="0" collapsed="false">
      <c r="A349" s="4" t="n">
        <v>46125</v>
      </c>
      <c r="B349" s="5" t="s">
        <v>31</v>
      </c>
      <c r="C349" s="5" t="s">
        <v>29</v>
      </c>
      <c r="E349" s="5" t="s">
        <v>186</v>
      </c>
      <c r="F349" s="5" t="s">
        <v>187</v>
      </c>
      <c r="G349" s="5" t="s">
        <v>386</v>
      </c>
      <c r="H349" s="14" t="n">
        <v>1.043</v>
      </c>
      <c r="I349" s="14" t="n">
        <v>6.26</v>
      </c>
      <c r="J349" s="0" t="n">
        <v>6</v>
      </c>
      <c r="L349" s="0" t="n">
        <v>25</v>
      </c>
      <c r="M349" s="6" t="n">
        <v>156.5</v>
      </c>
      <c r="N349" s="5" t="s">
        <v>77</v>
      </c>
    </row>
    <row r="350" customFormat="false" ht="15" hidden="false" customHeight="false" outlineLevel="0" collapsed="false">
      <c r="A350" s="4" t="n">
        <v>46125</v>
      </c>
      <c r="B350" s="5" t="s">
        <v>31</v>
      </c>
      <c r="C350" s="5" t="s">
        <v>29</v>
      </c>
      <c r="D350" s="5" t="s">
        <v>160</v>
      </c>
      <c r="E350" s="5" t="s">
        <v>92</v>
      </c>
      <c r="F350" s="5" t="s">
        <v>93</v>
      </c>
      <c r="G350" s="5" t="s">
        <v>386</v>
      </c>
      <c r="H350" s="14" t="n">
        <v>0.688</v>
      </c>
      <c r="I350" s="14" t="n">
        <v>16.51</v>
      </c>
      <c r="J350" s="0" t="n">
        <v>24</v>
      </c>
      <c r="L350" s="0" t="n">
        <v>1</v>
      </c>
      <c r="M350" s="6" t="n">
        <v>16.51</v>
      </c>
      <c r="N350" s="5" t="s">
        <v>77</v>
      </c>
    </row>
    <row r="351" customFormat="false" ht="15" hidden="false" customHeight="false" outlineLevel="0" collapsed="false">
      <c r="A351" s="4" t="n">
        <v>46125</v>
      </c>
      <c r="B351" s="5" t="s">
        <v>31</v>
      </c>
      <c r="C351" s="5" t="s">
        <v>29</v>
      </c>
      <c r="D351" s="5" t="s">
        <v>160</v>
      </c>
      <c r="E351" s="5" t="s">
        <v>118</v>
      </c>
      <c r="F351" s="5" t="s">
        <v>119</v>
      </c>
      <c r="G351" s="5" t="s">
        <v>386</v>
      </c>
      <c r="H351" s="14" t="n">
        <v>0.738</v>
      </c>
      <c r="I351" s="14" t="n">
        <v>17.71</v>
      </c>
      <c r="J351" s="0" t="n">
        <v>24</v>
      </c>
      <c r="L351" s="0" t="n">
        <v>2</v>
      </c>
      <c r="M351" s="6" t="n">
        <v>35.42</v>
      </c>
      <c r="N351" s="5" t="s">
        <v>77</v>
      </c>
    </row>
    <row r="352" customFormat="false" ht="15" hidden="false" customHeight="false" outlineLevel="0" collapsed="false">
      <c r="A352" s="4" t="n">
        <v>46125</v>
      </c>
      <c r="B352" s="5" t="s">
        <v>31</v>
      </c>
      <c r="C352" s="5" t="s">
        <v>29</v>
      </c>
      <c r="D352" s="5" t="s">
        <v>160</v>
      </c>
      <c r="E352" s="5" t="s">
        <v>161</v>
      </c>
      <c r="F352" s="5" t="s">
        <v>162</v>
      </c>
      <c r="G352" s="5" t="s">
        <v>386</v>
      </c>
      <c r="H352" s="14" t="n">
        <v>0.734</v>
      </c>
      <c r="I352" s="14" t="n">
        <v>26.42</v>
      </c>
      <c r="J352" s="0" t="n">
        <v>36</v>
      </c>
      <c r="L352" s="0" t="n">
        <v>2</v>
      </c>
      <c r="M352" s="6" t="n">
        <v>52.84</v>
      </c>
      <c r="N352" s="5" t="s">
        <v>115</v>
      </c>
    </row>
    <row r="353" customFormat="false" ht="15" hidden="false" customHeight="false" outlineLevel="0" collapsed="false">
      <c r="A353" s="4" t="n">
        <v>46125</v>
      </c>
      <c r="B353" s="5" t="s">
        <v>31</v>
      </c>
      <c r="C353" s="5" t="s">
        <v>29</v>
      </c>
      <c r="D353" s="5" t="s">
        <v>160</v>
      </c>
      <c r="E353" s="5" t="s">
        <v>74</v>
      </c>
      <c r="F353" s="5" t="s">
        <v>75</v>
      </c>
      <c r="G353" s="5" t="s">
        <v>386</v>
      </c>
      <c r="H353" s="14" t="n">
        <v>0.893</v>
      </c>
      <c r="I353" s="14" t="n">
        <v>26.8</v>
      </c>
      <c r="J353" s="0" t="n">
        <v>30</v>
      </c>
      <c r="L353" s="0" t="n">
        <v>6</v>
      </c>
      <c r="M353" s="6" t="n">
        <v>160.8</v>
      </c>
      <c r="N353" s="5" t="s">
        <v>77</v>
      </c>
    </row>
    <row r="354" customFormat="false" ht="15" hidden="false" customHeight="false" outlineLevel="0" collapsed="false">
      <c r="A354" s="4" t="n">
        <v>46125</v>
      </c>
      <c r="B354" s="5" t="s">
        <v>31</v>
      </c>
      <c r="C354" s="5" t="s">
        <v>29</v>
      </c>
      <c r="D354" s="5" t="s">
        <v>160</v>
      </c>
      <c r="E354" s="5" t="s">
        <v>82</v>
      </c>
      <c r="F354" s="5" t="s">
        <v>83</v>
      </c>
      <c r="G354" s="5" t="s">
        <v>386</v>
      </c>
      <c r="H354" s="14" t="n">
        <v>0.893</v>
      </c>
      <c r="I354" s="14" t="n">
        <v>26.78</v>
      </c>
      <c r="J354" s="0" t="n">
        <v>30</v>
      </c>
      <c r="L354" s="0" t="n">
        <v>6</v>
      </c>
      <c r="M354" s="6" t="n">
        <v>160.68</v>
      </c>
      <c r="N354" s="5" t="s">
        <v>77</v>
      </c>
    </row>
    <row r="355" customFormat="false" ht="15" hidden="false" customHeight="false" outlineLevel="0" collapsed="false">
      <c r="A355" s="4" t="n">
        <v>46125</v>
      </c>
      <c r="B355" s="5" t="s">
        <v>31</v>
      </c>
      <c r="C355" s="5" t="s">
        <v>29</v>
      </c>
      <c r="D355" s="5" t="s">
        <v>160</v>
      </c>
      <c r="E355" s="5" t="s">
        <v>158</v>
      </c>
      <c r="F355" s="5" t="s">
        <v>159</v>
      </c>
      <c r="G355" s="5" t="s">
        <v>386</v>
      </c>
      <c r="H355" s="14" t="n">
        <v>0.615</v>
      </c>
      <c r="I355" s="14" t="n">
        <v>22.14</v>
      </c>
      <c r="J355" s="0" t="n">
        <v>36</v>
      </c>
      <c r="L355" s="0" t="n">
        <v>3</v>
      </c>
      <c r="M355" s="6" t="n">
        <v>66.42</v>
      </c>
      <c r="N355" s="5" t="s">
        <v>115</v>
      </c>
    </row>
    <row r="356" customFormat="false" ht="15" hidden="false" customHeight="false" outlineLevel="0" collapsed="false">
      <c r="A356" s="4" t="n">
        <v>46125</v>
      </c>
      <c r="B356" s="5" t="s">
        <v>31</v>
      </c>
      <c r="C356" s="5" t="s">
        <v>29</v>
      </c>
      <c r="D356" s="5" t="s">
        <v>160</v>
      </c>
      <c r="E356" s="5" t="s">
        <v>113</v>
      </c>
      <c r="F356" s="5" t="s">
        <v>114</v>
      </c>
      <c r="G356" s="5" t="s">
        <v>386</v>
      </c>
      <c r="H356" s="14" t="n">
        <v>0.632</v>
      </c>
      <c r="I356" s="14" t="n">
        <v>15.16</v>
      </c>
      <c r="J356" s="0" t="n">
        <v>24</v>
      </c>
      <c r="L356" s="0" t="n">
        <v>1</v>
      </c>
      <c r="M356" s="6" t="n">
        <v>15.16</v>
      </c>
      <c r="N356" s="5" t="s">
        <v>115</v>
      </c>
    </row>
    <row r="357" customFormat="false" ht="15" hidden="false" customHeight="false" outlineLevel="0" collapsed="false">
      <c r="A357" s="4" t="n">
        <v>46125</v>
      </c>
      <c r="B357" s="5" t="s">
        <v>31</v>
      </c>
      <c r="C357" s="5" t="s">
        <v>29</v>
      </c>
      <c r="D357" s="5" t="s">
        <v>160</v>
      </c>
      <c r="E357" s="5" t="s">
        <v>120</v>
      </c>
      <c r="F357" s="5" t="s">
        <v>121</v>
      </c>
      <c r="G357" s="5" t="s">
        <v>386</v>
      </c>
      <c r="H357" s="14" t="n">
        <v>0.681</v>
      </c>
      <c r="I357" s="14" t="n">
        <v>24.52</v>
      </c>
      <c r="J357" s="0" t="n">
        <v>36</v>
      </c>
      <c r="L357" s="0" t="n">
        <v>3</v>
      </c>
      <c r="M357" s="6" t="n">
        <v>73.56</v>
      </c>
      <c r="N357" s="5" t="s">
        <v>77</v>
      </c>
    </row>
    <row r="358" customFormat="false" ht="15" hidden="false" customHeight="false" outlineLevel="0" collapsed="false">
      <c r="A358" s="4" t="n">
        <v>46125</v>
      </c>
      <c r="B358" s="5" t="s">
        <v>31</v>
      </c>
      <c r="C358" s="5" t="s">
        <v>29</v>
      </c>
      <c r="D358" s="5" t="s">
        <v>160</v>
      </c>
      <c r="E358" s="5" t="s">
        <v>126</v>
      </c>
      <c r="F358" s="5" t="s">
        <v>127</v>
      </c>
      <c r="G358" s="5" t="s">
        <v>386</v>
      </c>
      <c r="H358" s="14" t="n">
        <v>0.607</v>
      </c>
      <c r="I358" s="14" t="n">
        <v>19.43</v>
      </c>
      <c r="J358" s="0" t="n">
        <v>32</v>
      </c>
      <c r="L358" s="0" t="n">
        <v>2</v>
      </c>
      <c r="M358" s="6" t="n">
        <v>38.86</v>
      </c>
      <c r="N358" s="5" t="s">
        <v>77</v>
      </c>
    </row>
    <row r="359" customFormat="false" ht="15" hidden="false" customHeight="false" outlineLevel="0" collapsed="false">
      <c r="A359" s="4" t="n">
        <v>46125</v>
      </c>
      <c r="B359" s="5" t="s">
        <v>31</v>
      </c>
      <c r="C359" s="5" t="s">
        <v>29</v>
      </c>
      <c r="D359" s="5" t="s">
        <v>160</v>
      </c>
      <c r="E359" s="5" t="s">
        <v>163</v>
      </c>
      <c r="F359" s="5" t="s">
        <v>164</v>
      </c>
      <c r="G359" s="5" t="s">
        <v>386</v>
      </c>
      <c r="H359" s="14" t="n">
        <v>0.6</v>
      </c>
      <c r="I359" s="14" t="n">
        <v>24</v>
      </c>
      <c r="J359" s="0" t="n">
        <v>40</v>
      </c>
      <c r="L359" s="0" t="n">
        <v>1</v>
      </c>
      <c r="M359" s="6" t="n">
        <v>24</v>
      </c>
      <c r="N359" s="5" t="s">
        <v>115</v>
      </c>
    </row>
    <row r="360" customFormat="false" ht="15" hidden="false" customHeight="false" outlineLevel="0" collapsed="false">
      <c r="A360" s="4" t="n">
        <v>46125</v>
      </c>
      <c r="B360" s="5" t="s">
        <v>31</v>
      </c>
      <c r="C360" s="5" t="s">
        <v>29</v>
      </c>
      <c r="D360" s="5" t="s">
        <v>160</v>
      </c>
      <c r="E360" s="5" t="s">
        <v>170</v>
      </c>
      <c r="F360" s="5" t="s">
        <v>171</v>
      </c>
      <c r="G360" s="5" t="s">
        <v>386</v>
      </c>
      <c r="H360" s="14" t="n">
        <v>0.696</v>
      </c>
      <c r="I360" s="14" t="n">
        <v>27.85</v>
      </c>
      <c r="J360" s="0" t="n">
        <v>40</v>
      </c>
      <c r="L360" s="0" t="n">
        <v>2</v>
      </c>
      <c r="M360" s="6" t="n">
        <v>55.7</v>
      </c>
      <c r="N360" s="5" t="s">
        <v>115</v>
      </c>
    </row>
    <row r="361" customFormat="false" ht="15" hidden="false" customHeight="false" outlineLevel="0" collapsed="false">
      <c r="A361" s="4" t="n">
        <v>46125</v>
      </c>
      <c r="B361" s="5" t="s">
        <v>31</v>
      </c>
      <c r="C361" s="5" t="s">
        <v>29</v>
      </c>
      <c r="D361" s="5" t="s">
        <v>160</v>
      </c>
      <c r="E361" s="5" t="s">
        <v>116</v>
      </c>
      <c r="F361" s="5" t="s">
        <v>117</v>
      </c>
      <c r="G361" s="5" t="s">
        <v>78</v>
      </c>
      <c r="H361" s="14" t="n">
        <v>16.84</v>
      </c>
      <c r="I361" s="14" t="n">
        <v>16.84</v>
      </c>
      <c r="J361" s="0" t="n">
        <v>9</v>
      </c>
      <c r="L361" s="0" t="n">
        <v>15</v>
      </c>
      <c r="M361" s="6" t="n">
        <v>252.6</v>
      </c>
      <c r="N361" s="5" t="s">
        <v>77</v>
      </c>
    </row>
    <row r="362" customFormat="false" ht="15" hidden="false" customHeight="false" outlineLevel="0" collapsed="false">
      <c r="A362" s="4" t="n">
        <v>46125</v>
      </c>
      <c r="B362" s="5" t="s">
        <v>31</v>
      </c>
      <c r="C362" s="5" t="s">
        <v>29</v>
      </c>
      <c r="D362" s="5" t="s">
        <v>160</v>
      </c>
      <c r="E362" s="5" t="s">
        <v>156</v>
      </c>
      <c r="F362" s="5" t="s">
        <v>157</v>
      </c>
      <c r="G362" s="5" t="s">
        <v>78</v>
      </c>
      <c r="H362" s="14" t="n">
        <v>4.55</v>
      </c>
      <c r="I362" s="14" t="n">
        <v>4.55</v>
      </c>
      <c r="J362" s="0" t="n">
        <v>1</v>
      </c>
      <c r="L362" s="0" t="n">
        <v>4</v>
      </c>
      <c r="M362" s="6" t="n">
        <v>18.2</v>
      </c>
      <c r="N362" s="5" t="s">
        <v>77</v>
      </c>
    </row>
    <row r="363" customFormat="false" ht="15" hidden="false" customHeight="false" outlineLevel="0" collapsed="false">
      <c r="A363" s="4" t="n">
        <v>46125</v>
      </c>
      <c r="B363" s="5" t="s">
        <v>31</v>
      </c>
      <c r="C363" s="5" t="s">
        <v>29</v>
      </c>
      <c r="D363" s="5" t="s">
        <v>160</v>
      </c>
      <c r="E363" s="5" t="s">
        <v>124</v>
      </c>
      <c r="F363" s="5" t="s">
        <v>125</v>
      </c>
      <c r="G363" s="5" t="s">
        <v>386</v>
      </c>
      <c r="H363" s="14" t="n">
        <v>0.628</v>
      </c>
      <c r="I363" s="14" t="n">
        <v>12.55</v>
      </c>
      <c r="J363" s="0" t="n">
        <v>20</v>
      </c>
      <c r="L363" s="0" t="n">
        <v>2</v>
      </c>
      <c r="M363" s="6" t="n">
        <v>25.1</v>
      </c>
      <c r="N363" s="5" t="s">
        <v>77</v>
      </c>
    </row>
    <row r="364" customFormat="false" ht="15" hidden="false" customHeight="false" outlineLevel="0" collapsed="false">
      <c r="A364" s="4" t="n">
        <v>46125</v>
      </c>
      <c r="B364" s="5" t="s">
        <v>31</v>
      </c>
      <c r="C364" s="5" t="s">
        <v>29</v>
      </c>
      <c r="D364" s="5" t="s">
        <v>160</v>
      </c>
      <c r="E364" s="5" t="s">
        <v>94</v>
      </c>
      <c r="F364" s="5" t="s">
        <v>95</v>
      </c>
      <c r="G364" s="5" t="s">
        <v>386</v>
      </c>
      <c r="H364" s="14" t="n">
        <v>0.898</v>
      </c>
      <c r="I364" s="14" t="n">
        <v>21.54</v>
      </c>
      <c r="J364" s="0" t="n">
        <v>24</v>
      </c>
      <c r="L364" s="0" t="n">
        <v>2</v>
      </c>
      <c r="M364" s="6" t="n">
        <v>43.08</v>
      </c>
      <c r="N364" s="5" t="s">
        <v>77</v>
      </c>
    </row>
    <row r="365" customFormat="false" ht="15" hidden="false" customHeight="false" outlineLevel="0" collapsed="false">
      <c r="A365" s="4" t="n">
        <v>46125</v>
      </c>
      <c r="B365" s="5" t="s">
        <v>31</v>
      </c>
      <c r="C365" s="5" t="s">
        <v>29</v>
      </c>
      <c r="D365" s="5" t="s">
        <v>160</v>
      </c>
      <c r="E365" s="5" t="s">
        <v>122</v>
      </c>
      <c r="F365" s="5" t="s">
        <v>123</v>
      </c>
      <c r="G365" s="5" t="s">
        <v>78</v>
      </c>
      <c r="H365" s="14" t="n">
        <v>13.03</v>
      </c>
      <c r="I365" s="14" t="n">
        <v>13.03</v>
      </c>
      <c r="J365" s="0" t="n">
        <v>6</v>
      </c>
      <c r="L365" s="0" t="n">
        <v>3</v>
      </c>
      <c r="M365" s="6" t="n">
        <v>39.09</v>
      </c>
      <c r="N365" s="5" t="s">
        <v>77</v>
      </c>
    </row>
    <row r="366" customFormat="false" ht="15" hidden="false" customHeight="false" outlineLevel="0" collapsed="false">
      <c r="A366" s="4" t="n">
        <v>46125</v>
      </c>
      <c r="B366" s="5" t="s">
        <v>31</v>
      </c>
      <c r="C366" s="5" t="s">
        <v>29</v>
      </c>
      <c r="D366" s="5" t="s">
        <v>81</v>
      </c>
      <c r="E366" s="5" t="s">
        <v>152</v>
      </c>
      <c r="F366" s="5" t="s">
        <v>153</v>
      </c>
      <c r="G366" s="5" t="s">
        <v>386</v>
      </c>
      <c r="H366" s="14" t="n">
        <v>0.758</v>
      </c>
      <c r="I366" s="14" t="n">
        <v>18.2</v>
      </c>
      <c r="J366" s="0" t="n">
        <v>24</v>
      </c>
      <c r="L366" s="0" t="n">
        <v>2</v>
      </c>
      <c r="M366" s="6" t="n">
        <v>36.4</v>
      </c>
      <c r="N366" s="5" t="s">
        <v>77</v>
      </c>
    </row>
    <row r="367" customFormat="false" ht="15" hidden="false" customHeight="false" outlineLevel="0" collapsed="false">
      <c r="A367" s="4" t="n">
        <v>46125</v>
      </c>
      <c r="B367" s="5" t="s">
        <v>31</v>
      </c>
      <c r="C367" s="5" t="s">
        <v>29</v>
      </c>
      <c r="D367" s="5" t="s">
        <v>81</v>
      </c>
      <c r="E367" s="5" t="s">
        <v>105</v>
      </c>
      <c r="F367" s="5" t="s">
        <v>106</v>
      </c>
      <c r="G367" s="5" t="s">
        <v>386</v>
      </c>
      <c r="H367" s="14" t="n">
        <v>0.842</v>
      </c>
      <c r="I367" s="14" t="n">
        <v>20.2</v>
      </c>
      <c r="J367" s="0" t="n">
        <v>24</v>
      </c>
      <c r="L367" s="0" t="n">
        <v>1</v>
      </c>
      <c r="M367" s="6" t="n">
        <v>20.2</v>
      </c>
      <c r="N367" s="5" t="s">
        <v>77</v>
      </c>
    </row>
    <row r="368" customFormat="false" ht="15" hidden="false" customHeight="false" outlineLevel="0" collapsed="false">
      <c r="A368" s="21" t="n">
        <v>46125</v>
      </c>
      <c r="B368" s="22" t="s">
        <v>31</v>
      </c>
      <c r="C368" s="22" t="s">
        <v>29</v>
      </c>
      <c r="D368" s="22" t="s">
        <v>81</v>
      </c>
      <c r="E368" s="22" t="s">
        <v>101</v>
      </c>
      <c r="F368" s="22" t="s">
        <v>102</v>
      </c>
      <c r="G368" s="22" t="s">
        <v>386</v>
      </c>
      <c r="H368" s="16" t="n">
        <v>0.856</v>
      </c>
      <c r="I368" s="16" t="n">
        <v>20.55</v>
      </c>
      <c r="J368" s="22" t="n">
        <v>24</v>
      </c>
      <c r="K368" s="22"/>
      <c r="L368" s="22" t="n">
        <v>1</v>
      </c>
      <c r="M368" s="23" t="n">
        <v>20.55</v>
      </c>
      <c r="N368" s="22" t="s">
        <v>77</v>
      </c>
      <c r="O368" s="22" t="s">
        <v>387</v>
      </c>
    </row>
    <row r="369" customFormat="false" ht="15" hidden="false" customHeight="false" outlineLevel="0" collapsed="false">
      <c r="A369" s="4" t="n">
        <v>46125</v>
      </c>
      <c r="B369" s="5" t="s">
        <v>31</v>
      </c>
      <c r="C369" s="5" t="s">
        <v>29</v>
      </c>
      <c r="D369" s="5" t="s">
        <v>81</v>
      </c>
      <c r="E369" s="5" t="s">
        <v>148</v>
      </c>
      <c r="F369" s="5" t="s">
        <v>149</v>
      </c>
      <c r="G369" s="5" t="s">
        <v>386</v>
      </c>
      <c r="H369" s="14" t="n">
        <v>0.803</v>
      </c>
      <c r="I369" s="14" t="n">
        <v>19.26</v>
      </c>
      <c r="J369" s="0" t="n">
        <v>24</v>
      </c>
      <c r="L369" s="0" t="n">
        <v>7</v>
      </c>
      <c r="M369" s="6" t="n">
        <v>134.82</v>
      </c>
      <c r="N369" s="5" t="s">
        <v>77</v>
      </c>
    </row>
    <row r="370" customFormat="false" ht="15" hidden="false" customHeight="false" outlineLevel="0" collapsed="false">
      <c r="A370" s="4" t="n">
        <v>46125</v>
      </c>
      <c r="B370" s="5" t="s">
        <v>31</v>
      </c>
      <c r="C370" s="5" t="s">
        <v>29</v>
      </c>
      <c r="D370" s="5" t="s">
        <v>81</v>
      </c>
      <c r="E370" s="5" t="s">
        <v>146</v>
      </c>
      <c r="F370" s="5" t="s">
        <v>147</v>
      </c>
      <c r="G370" s="5" t="s">
        <v>386</v>
      </c>
      <c r="H370" s="14" t="n">
        <v>0.772</v>
      </c>
      <c r="I370" s="14" t="n">
        <v>18.53</v>
      </c>
      <c r="J370" s="0" t="n">
        <v>24</v>
      </c>
      <c r="L370" s="0" t="n">
        <v>4</v>
      </c>
      <c r="M370" s="6" t="n">
        <v>74.12</v>
      </c>
      <c r="N370" s="5" t="s">
        <v>77</v>
      </c>
    </row>
    <row r="371" customFormat="false" ht="15" hidden="false" customHeight="false" outlineLevel="0" collapsed="false">
      <c r="A371" s="4" t="n">
        <v>46125</v>
      </c>
      <c r="B371" s="5" t="s">
        <v>31</v>
      </c>
      <c r="C371" s="5" t="s">
        <v>29</v>
      </c>
      <c r="D371" s="5" t="s">
        <v>81</v>
      </c>
      <c r="E371" s="5" t="s">
        <v>84</v>
      </c>
      <c r="F371" s="5" t="s">
        <v>85</v>
      </c>
      <c r="G371" s="5" t="s">
        <v>386</v>
      </c>
      <c r="H371" s="14" t="n">
        <v>1.836</v>
      </c>
      <c r="I371" s="14" t="n">
        <v>22.03</v>
      </c>
      <c r="J371" s="0" t="n">
        <v>12</v>
      </c>
      <c r="L371" s="0" t="n">
        <v>5</v>
      </c>
      <c r="M371" s="6" t="n">
        <v>110.15</v>
      </c>
      <c r="N371" s="5" t="s">
        <v>77</v>
      </c>
    </row>
    <row r="372" customFormat="false" ht="15" hidden="false" customHeight="false" outlineLevel="0" collapsed="false">
      <c r="A372" s="4" t="n">
        <v>46125</v>
      </c>
      <c r="B372" s="5" t="s">
        <v>31</v>
      </c>
      <c r="C372" s="5" t="s">
        <v>29</v>
      </c>
      <c r="D372" s="5" t="s">
        <v>81</v>
      </c>
      <c r="E372" s="5" t="s">
        <v>86</v>
      </c>
      <c r="F372" s="5" t="s">
        <v>87</v>
      </c>
      <c r="G372" s="5" t="s">
        <v>386</v>
      </c>
      <c r="H372" s="14" t="n">
        <v>1.843</v>
      </c>
      <c r="I372" s="14" t="n">
        <v>22.12</v>
      </c>
      <c r="J372" s="0" t="n">
        <v>12</v>
      </c>
      <c r="L372" s="0" t="n">
        <v>5</v>
      </c>
      <c r="M372" s="6" t="n">
        <v>110.6</v>
      </c>
      <c r="N372" s="5" t="s">
        <v>77</v>
      </c>
    </row>
    <row r="373" customFormat="false" ht="15" hidden="false" customHeight="false" outlineLevel="0" collapsed="false">
      <c r="A373" s="4" t="n">
        <v>46125</v>
      </c>
      <c r="B373" s="5" t="s">
        <v>31</v>
      </c>
      <c r="C373" s="5" t="s">
        <v>29</v>
      </c>
      <c r="D373" s="5" t="s">
        <v>81</v>
      </c>
      <c r="E373" s="5" t="s">
        <v>88</v>
      </c>
      <c r="F373" s="5" t="s">
        <v>89</v>
      </c>
      <c r="G373" s="5" t="s">
        <v>386</v>
      </c>
      <c r="H373" s="14" t="n">
        <v>1.61</v>
      </c>
      <c r="I373" s="14" t="n">
        <v>19.32</v>
      </c>
      <c r="J373" s="0" t="n">
        <v>12</v>
      </c>
      <c r="L373" s="0" t="n">
        <v>3</v>
      </c>
      <c r="M373" s="6" t="n">
        <v>57.96</v>
      </c>
      <c r="N373" s="5" t="s">
        <v>77</v>
      </c>
    </row>
    <row r="374" customFormat="false" ht="15" hidden="false" customHeight="false" outlineLevel="0" collapsed="false">
      <c r="A374" s="21" t="n">
        <v>46125</v>
      </c>
      <c r="B374" s="22" t="s">
        <v>31</v>
      </c>
      <c r="C374" s="22" t="s">
        <v>29</v>
      </c>
      <c r="D374" s="22" t="s">
        <v>81</v>
      </c>
      <c r="E374" s="22" t="s">
        <v>315</v>
      </c>
      <c r="F374" s="22" t="s">
        <v>316</v>
      </c>
      <c r="G374" s="22" t="s">
        <v>78</v>
      </c>
      <c r="H374" s="16" t="n">
        <v>23.24</v>
      </c>
      <c r="I374" s="16" t="n">
        <v>23.24</v>
      </c>
      <c r="J374" s="22" t="n">
        <v>30</v>
      </c>
      <c r="K374" s="22"/>
      <c r="L374" s="22" t="n">
        <v>10</v>
      </c>
      <c r="M374" s="23" t="n">
        <v>232.4</v>
      </c>
      <c r="N374" s="22" t="s">
        <v>77</v>
      </c>
      <c r="O374" s="22" t="s">
        <v>387</v>
      </c>
    </row>
    <row r="375" customFormat="false" ht="15" hidden="false" customHeight="false" outlineLevel="0" collapsed="false">
      <c r="A375" s="4" t="n">
        <v>46125</v>
      </c>
      <c r="B375" s="5" t="s">
        <v>31</v>
      </c>
      <c r="C375" s="5" t="s">
        <v>29</v>
      </c>
      <c r="D375" s="5" t="s">
        <v>81</v>
      </c>
      <c r="E375" s="5" t="s">
        <v>109</v>
      </c>
      <c r="F375" s="5" t="s">
        <v>110</v>
      </c>
      <c r="G375" s="5" t="s">
        <v>386</v>
      </c>
      <c r="H375" s="14" t="n">
        <v>0.78</v>
      </c>
      <c r="I375" s="14" t="n">
        <v>18.71</v>
      </c>
      <c r="J375" s="0" t="n">
        <v>24</v>
      </c>
      <c r="L375" s="0" t="n">
        <v>2</v>
      </c>
      <c r="M375" s="6" t="n">
        <v>37.42</v>
      </c>
      <c r="N375" s="5" t="s">
        <v>77</v>
      </c>
    </row>
    <row r="376" customFormat="false" ht="15" hidden="false" customHeight="false" outlineLevel="0" collapsed="false">
      <c r="A376" s="4" t="n">
        <v>46125</v>
      </c>
      <c r="B376" s="5" t="s">
        <v>31</v>
      </c>
      <c r="C376" s="5" t="s">
        <v>29</v>
      </c>
      <c r="D376" s="5" t="s">
        <v>81</v>
      </c>
      <c r="E376" s="5" t="s">
        <v>111</v>
      </c>
      <c r="F376" s="5" t="s">
        <v>112</v>
      </c>
      <c r="G376" s="5" t="s">
        <v>386</v>
      </c>
      <c r="H376" s="14" t="n">
        <v>0.863</v>
      </c>
      <c r="I376" s="14" t="n">
        <v>20.71</v>
      </c>
      <c r="J376" s="0" t="n">
        <v>24</v>
      </c>
      <c r="L376" s="0" t="n">
        <v>2</v>
      </c>
      <c r="M376" s="6" t="n">
        <v>41.42</v>
      </c>
      <c r="N376" s="5" t="s">
        <v>77</v>
      </c>
    </row>
    <row r="377" customFormat="false" ht="15" hidden="false" customHeight="false" outlineLevel="0" collapsed="false">
      <c r="A377" s="4" t="n">
        <v>46125</v>
      </c>
      <c r="B377" s="5" t="s">
        <v>31</v>
      </c>
      <c r="C377" s="5" t="s">
        <v>29</v>
      </c>
      <c r="D377" s="5" t="s">
        <v>81</v>
      </c>
      <c r="E377" s="5" t="s">
        <v>90</v>
      </c>
      <c r="F377" s="5" t="s">
        <v>91</v>
      </c>
      <c r="G377" s="5" t="s">
        <v>386</v>
      </c>
      <c r="H377" s="14" t="n">
        <v>0.816</v>
      </c>
      <c r="I377" s="14" t="n">
        <v>19.58</v>
      </c>
      <c r="J377" s="0" t="n">
        <v>24</v>
      </c>
      <c r="L377" s="0" t="n">
        <v>3</v>
      </c>
      <c r="M377" s="6" t="n">
        <v>58.74</v>
      </c>
      <c r="N377" s="5" t="s">
        <v>77</v>
      </c>
    </row>
    <row r="378" customFormat="false" ht="15" hidden="false" customHeight="false" outlineLevel="0" collapsed="false">
      <c r="A378" s="4" t="n">
        <v>46125</v>
      </c>
      <c r="B378" s="5" t="s">
        <v>31</v>
      </c>
      <c r="C378" s="5" t="s">
        <v>29</v>
      </c>
      <c r="D378" s="5" t="s">
        <v>81</v>
      </c>
      <c r="E378" s="5" t="s">
        <v>79</v>
      </c>
      <c r="F378" s="5" t="s">
        <v>80</v>
      </c>
      <c r="G378" s="5" t="s">
        <v>386</v>
      </c>
      <c r="H378" s="14" t="n">
        <v>0.811</v>
      </c>
      <c r="I378" s="14" t="n">
        <v>19.47</v>
      </c>
      <c r="J378" s="0" t="n">
        <v>24</v>
      </c>
      <c r="L378" s="0" t="n">
        <v>3</v>
      </c>
      <c r="M378" s="6" t="n">
        <v>58.41</v>
      </c>
      <c r="N378" s="5" t="s">
        <v>77</v>
      </c>
    </row>
    <row r="379" customFormat="false" ht="15" hidden="false" customHeight="false" outlineLevel="0" collapsed="false">
      <c r="A379" s="4" t="n">
        <v>46125</v>
      </c>
      <c r="B379" s="5" t="s">
        <v>31</v>
      </c>
      <c r="C379" s="5" t="s">
        <v>29</v>
      </c>
      <c r="D379" s="5" t="s">
        <v>81</v>
      </c>
      <c r="E379" s="5" t="s">
        <v>136</v>
      </c>
      <c r="F379" s="5" t="s">
        <v>137</v>
      </c>
      <c r="G379" s="5" t="s">
        <v>386</v>
      </c>
      <c r="H379" s="14" t="n">
        <v>0.999</v>
      </c>
      <c r="I379" s="14" t="n">
        <v>23.98</v>
      </c>
      <c r="J379" s="0" t="n">
        <v>24</v>
      </c>
      <c r="L379" s="0" t="n">
        <v>3</v>
      </c>
      <c r="M379" s="6" t="n">
        <v>71.94</v>
      </c>
      <c r="N379" s="5" t="s">
        <v>77</v>
      </c>
    </row>
    <row r="380" customFormat="false" ht="15" hidden="false" customHeight="false" outlineLevel="0" collapsed="false">
      <c r="A380" s="21" t="n">
        <v>46125</v>
      </c>
      <c r="B380" s="22" t="s">
        <v>31</v>
      </c>
      <c r="C380" s="22" t="s">
        <v>29</v>
      </c>
      <c r="D380" s="22" t="s">
        <v>81</v>
      </c>
      <c r="E380" s="22" t="s">
        <v>103</v>
      </c>
      <c r="F380" s="22" t="s">
        <v>104</v>
      </c>
      <c r="G380" s="22" t="s">
        <v>386</v>
      </c>
      <c r="H380" s="16" t="n">
        <v>0.789</v>
      </c>
      <c r="I380" s="16" t="n">
        <v>18.93</v>
      </c>
      <c r="J380" s="22" t="n">
        <v>24</v>
      </c>
      <c r="K380" s="22"/>
      <c r="L380" s="22" t="n">
        <v>2</v>
      </c>
      <c r="M380" s="23" t="n">
        <v>37.86</v>
      </c>
      <c r="N380" s="22" t="s">
        <v>77</v>
      </c>
      <c r="O380" s="22" t="s">
        <v>387</v>
      </c>
    </row>
    <row r="381" customFormat="false" ht="15" hidden="false" customHeight="false" outlineLevel="0" collapsed="false">
      <c r="A381" s="4" t="n">
        <v>46125</v>
      </c>
      <c r="B381" s="5" t="s">
        <v>31</v>
      </c>
      <c r="C381" s="5" t="s">
        <v>29</v>
      </c>
      <c r="D381" s="5" t="s">
        <v>81</v>
      </c>
      <c r="E381" s="5" t="s">
        <v>138</v>
      </c>
      <c r="F381" s="5" t="s">
        <v>139</v>
      </c>
      <c r="G381" s="5" t="s">
        <v>386</v>
      </c>
      <c r="H381" s="14" t="n">
        <v>0.596</v>
      </c>
      <c r="I381" s="14" t="n">
        <v>14.3</v>
      </c>
      <c r="J381" s="0" t="n">
        <v>24</v>
      </c>
      <c r="L381" s="0" t="n">
        <v>3</v>
      </c>
      <c r="M381" s="6" t="n">
        <v>42.9</v>
      </c>
      <c r="N381" s="5" t="s">
        <v>77</v>
      </c>
    </row>
    <row r="382" customFormat="false" ht="15" hidden="false" customHeight="false" outlineLevel="0" collapsed="false">
      <c r="A382" s="21" t="n">
        <v>46125</v>
      </c>
      <c r="B382" s="22" t="s">
        <v>31</v>
      </c>
      <c r="C382" s="22" t="s">
        <v>29</v>
      </c>
      <c r="D382" s="22" t="s">
        <v>81</v>
      </c>
      <c r="E382" s="22" t="s">
        <v>99</v>
      </c>
      <c r="F382" s="22" t="s">
        <v>100</v>
      </c>
      <c r="G382" s="22" t="s">
        <v>386</v>
      </c>
      <c r="H382" s="16" t="n">
        <v>0.611</v>
      </c>
      <c r="I382" s="16" t="n">
        <v>14.66</v>
      </c>
      <c r="J382" s="22" t="n">
        <v>24</v>
      </c>
      <c r="K382" s="22"/>
      <c r="L382" s="22" t="n">
        <v>2</v>
      </c>
      <c r="M382" s="23" t="n">
        <v>29.32</v>
      </c>
      <c r="N382" s="22" t="s">
        <v>77</v>
      </c>
      <c r="O382" s="22" t="s">
        <v>387</v>
      </c>
    </row>
    <row r="383" customFormat="false" ht="15" hidden="false" customHeight="false" outlineLevel="0" collapsed="false">
      <c r="A383" s="4" t="n">
        <v>46125</v>
      </c>
      <c r="B383" s="5" t="s">
        <v>31</v>
      </c>
      <c r="C383" s="5" t="s">
        <v>29</v>
      </c>
      <c r="D383" s="5" t="s">
        <v>81</v>
      </c>
      <c r="E383" s="5" t="s">
        <v>140</v>
      </c>
      <c r="F383" s="5" t="s">
        <v>141</v>
      </c>
      <c r="G383" s="5" t="s">
        <v>386</v>
      </c>
      <c r="H383" s="14" t="n">
        <v>0.71</v>
      </c>
      <c r="I383" s="14" t="n">
        <v>17.05</v>
      </c>
      <c r="J383" s="0" t="n">
        <v>24</v>
      </c>
      <c r="L383" s="0" t="n">
        <v>1</v>
      </c>
      <c r="M383" s="6" t="n">
        <v>17.05</v>
      </c>
      <c r="N383" s="5" t="s">
        <v>77</v>
      </c>
    </row>
    <row r="384" customFormat="false" ht="15" hidden="false" customHeight="false" outlineLevel="0" collapsed="false">
      <c r="A384" s="21" t="n">
        <v>46125</v>
      </c>
      <c r="B384" s="22" t="s">
        <v>31</v>
      </c>
      <c r="C384" s="22" t="s">
        <v>29</v>
      </c>
      <c r="D384" s="22" t="s">
        <v>98</v>
      </c>
      <c r="E384" s="22" t="s">
        <v>254</v>
      </c>
      <c r="F384" s="22" t="s">
        <v>255</v>
      </c>
      <c r="G384" s="22" t="s">
        <v>78</v>
      </c>
      <c r="H384" s="16" t="n">
        <v>24.57</v>
      </c>
      <c r="I384" s="16" t="n">
        <v>24.57</v>
      </c>
      <c r="J384" s="22" t="n">
        <v>10</v>
      </c>
      <c r="K384" s="22"/>
      <c r="L384" s="22" t="n">
        <v>1</v>
      </c>
      <c r="M384" s="23" t="n">
        <v>24.57</v>
      </c>
      <c r="N384" s="22" t="s">
        <v>115</v>
      </c>
      <c r="O384" s="22" t="s">
        <v>387</v>
      </c>
    </row>
    <row r="385" customFormat="false" ht="15" hidden="false" customHeight="false" outlineLevel="0" collapsed="false">
      <c r="A385" s="21" t="n">
        <v>46147</v>
      </c>
      <c r="B385" s="22" t="s">
        <v>32</v>
      </c>
      <c r="C385" s="22" t="s">
        <v>29</v>
      </c>
      <c r="D385" s="22"/>
      <c r="E385" s="22" t="s">
        <v>74</v>
      </c>
      <c r="F385" s="22" t="s">
        <v>75</v>
      </c>
      <c r="G385" s="22" t="s">
        <v>386</v>
      </c>
      <c r="H385" s="16" t="n">
        <v>0.744</v>
      </c>
      <c r="I385" s="16" t="n">
        <v>22.33</v>
      </c>
      <c r="J385" s="22" t="n">
        <v>30</v>
      </c>
      <c r="K385" s="22"/>
      <c r="L385" s="22" t="n">
        <v>3</v>
      </c>
      <c r="M385" s="23" t="n">
        <v>66.99</v>
      </c>
      <c r="N385" s="22" t="s">
        <v>77</v>
      </c>
      <c r="O385" s="22" t="s">
        <v>387</v>
      </c>
    </row>
    <row r="386" customFormat="false" ht="15" hidden="false" customHeight="false" outlineLevel="0" collapsed="false">
      <c r="A386" s="21" t="n">
        <v>46147</v>
      </c>
      <c r="B386" s="22" t="s">
        <v>32</v>
      </c>
      <c r="C386" s="22" t="s">
        <v>29</v>
      </c>
      <c r="D386" s="22"/>
      <c r="E386" s="22" t="s">
        <v>82</v>
      </c>
      <c r="F386" s="22" t="s">
        <v>83</v>
      </c>
      <c r="G386" s="22" t="s">
        <v>386</v>
      </c>
      <c r="H386" s="16" t="n">
        <v>0.744</v>
      </c>
      <c r="I386" s="16" t="n">
        <v>22.31</v>
      </c>
      <c r="J386" s="22" t="n">
        <v>30</v>
      </c>
      <c r="K386" s="22"/>
      <c r="L386" s="22" t="n">
        <v>3</v>
      </c>
      <c r="M386" s="23" t="n">
        <v>66.93</v>
      </c>
      <c r="N386" s="22" t="s">
        <v>77</v>
      </c>
      <c r="O386" s="22" t="s">
        <v>387</v>
      </c>
    </row>
    <row r="387" customFormat="false" ht="15" hidden="false" customHeight="false" outlineLevel="0" collapsed="false">
      <c r="A387" s="21" t="n">
        <v>46147</v>
      </c>
      <c r="B387" s="22" t="s">
        <v>32</v>
      </c>
      <c r="C387" s="22" t="s">
        <v>29</v>
      </c>
      <c r="D387" s="22"/>
      <c r="E387" s="22" t="s">
        <v>158</v>
      </c>
      <c r="F387" s="22" t="s">
        <v>159</v>
      </c>
      <c r="G387" s="22" t="s">
        <v>386</v>
      </c>
      <c r="H387" s="16" t="n">
        <v>0.513</v>
      </c>
      <c r="I387" s="16" t="n">
        <v>18.45</v>
      </c>
      <c r="J387" s="22" t="n">
        <v>36</v>
      </c>
      <c r="K387" s="22"/>
      <c r="L387" s="22" t="n">
        <v>3</v>
      </c>
      <c r="M387" s="23" t="n">
        <v>55.35</v>
      </c>
      <c r="N387" s="22" t="s">
        <v>115</v>
      </c>
      <c r="O387" s="22" t="s">
        <v>387</v>
      </c>
    </row>
    <row r="388" customFormat="false" ht="15" hidden="false" customHeight="false" outlineLevel="0" collapsed="false">
      <c r="A388" s="21" t="n">
        <v>46147</v>
      </c>
      <c r="B388" s="22" t="s">
        <v>32</v>
      </c>
      <c r="C388" s="22" t="s">
        <v>29</v>
      </c>
      <c r="D388" s="22"/>
      <c r="E388" s="22" t="s">
        <v>120</v>
      </c>
      <c r="F388" s="22" t="s">
        <v>121</v>
      </c>
      <c r="G388" s="22" t="s">
        <v>386</v>
      </c>
      <c r="H388" s="16" t="n">
        <v>0.634</v>
      </c>
      <c r="I388" s="16" t="n">
        <v>22.84</v>
      </c>
      <c r="J388" s="22" t="n">
        <v>36</v>
      </c>
      <c r="K388" s="22"/>
      <c r="L388" s="22" t="n">
        <v>1</v>
      </c>
      <c r="M388" s="23" t="n">
        <v>22.84</v>
      </c>
      <c r="N388" s="22" t="s">
        <v>77</v>
      </c>
      <c r="O388" s="22" t="s">
        <v>387</v>
      </c>
    </row>
    <row r="389" customFormat="false" ht="15" hidden="false" customHeight="false" outlineLevel="0" collapsed="false">
      <c r="A389" s="4" t="n">
        <v>46147</v>
      </c>
      <c r="B389" s="5" t="s">
        <v>32</v>
      </c>
      <c r="C389" s="5" t="s">
        <v>29</v>
      </c>
      <c r="E389" s="5" t="s">
        <v>130</v>
      </c>
      <c r="F389" s="5" t="s">
        <v>131</v>
      </c>
      <c r="G389" s="5" t="s">
        <v>78</v>
      </c>
      <c r="H389" s="14" t="n">
        <v>5.02</v>
      </c>
      <c r="I389" s="14" t="n">
        <v>5.02</v>
      </c>
      <c r="J389" s="0" t="n">
        <v>4</v>
      </c>
      <c r="L389" s="0" t="n">
        <v>10</v>
      </c>
      <c r="M389" s="6" t="n">
        <v>50.2</v>
      </c>
      <c r="N389" s="5" t="s">
        <v>77</v>
      </c>
    </row>
    <row r="390" customFormat="false" ht="15" hidden="false" customHeight="false" outlineLevel="0" collapsed="false">
      <c r="A390" s="4" t="n">
        <v>46147</v>
      </c>
      <c r="B390" s="5" t="s">
        <v>32</v>
      </c>
      <c r="C390" s="5" t="s">
        <v>29</v>
      </c>
      <c r="E390" s="5" t="s">
        <v>132</v>
      </c>
      <c r="F390" s="5" t="s">
        <v>133</v>
      </c>
      <c r="G390" s="5" t="s">
        <v>78</v>
      </c>
      <c r="H390" s="14" t="n">
        <v>6.73</v>
      </c>
      <c r="I390" s="14" t="n">
        <v>6.73</v>
      </c>
      <c r="J390" s="0" t="n">
        <v>4</v>
      </c>
      <c r="L390" s="0" t="n">
        <v>2</v>
      </c>
      <c r="M390" s="6" t="n">
        <v>13.46</v>
      </c>
      <c r="N390" s="5" t="s">
        <v>77</v>
      </c>
    </row>
    <row r="391" customFormat="false" ht="15" hidden="false" customHeight="false" outlineLevel="0" collapsed="false">
      <c r="A391" s="4" t="n">
        <v>46147</v>
      </c>
      <c r="B391" s="5" t="s">
        <v>32</v>
      </c>
      <c r="C391" s="5" t="s">
        <v>29</v>
      </c>
      <c r="E391" s="5" t="s">
        <v>124</v>
      </c>
      <c r="F391" s="5" t="s">
        <v>125</v>
      </c>
      <c r="G391" s="5" t="s">
        <v>386</v>
      </c>
      <c r="H391" s="14" t="n">
        <v>0.628</v>
      </c>
      <c r="I391" s="14" t="n">
        <v>12.55</v>
      </c>
      <c r="J391" s="0" t="n">
        <v>20</v>
      </c>
      <c r="L391" s="0" t="n">
        <v>3</v>
      </c>
      <c r="M391" s="6" t="n">
        <v>37.65</v>
      </c>
      <c r="N391" s="5" t="s">
        <v>77</v>
      </c>
    </row>
    <row r="392" customFormat="false" ht="15" hidden="false" customHeight="false" outlineLevel="0" collapsed="false">
      <c r="A392" s="4" t="n">
        <v>46147</v>
      </c>
      <c r="B392" s="5" t="s">
        <v>32</v>
      </c>
      <c r="C392" s="5" t="s">
        <v>29</v>
      </c>
      <c r="E392" s="5" t="s">
        <v>96</v>
      </c>
      <c r="F392" s="5" t="s">
        <v>97</v>
      </c>
      <c r="G392" s="5" t="s">
        <v>386</v>
      </c>
      <c r="H392" s="14" t="n">
        <v>0.845</v>
      </c>
      <c r="I392" s="14" t="n">
        <v>20.28</v>
      </c>
      <c r="J392" s="0" t="n">
        <v>24</v>
      </c>
      <c r="L392" s="0" t="n">
        <v>2</v>
      </c>
      <c r="M392" s="6" t="n">
        <v>40.56</v>
      </c>
      <c r="N392" s="5" t="s">
        <v>77</v>
      </c>
    </row>
    <row r="393" customFormat="false" ht="15" hidden="false" customHeight="false" outlineLevel="0" collapsed="false">
      <c r="A393" s="4" t="n">
        <v>46147</v>
      </c>
      <c r="B393" s="5" t="s">
        <v>32</v>
      </c>
      <c r="C393" s="5" t="s">
        <v>29</v>
      </c>
      <c r="E393" s="5" t="s">
        <v>176</v>
      </c>
      <c r="F393" s="5" t="s">
        <v>177</v>
      </c>
      <c r="G393" s="5" t="s">
        <v>78</v>
      </c>
      <c r="H393" s="14" t="n">
        <v>11.33</v>
      </c>
      <c r="I393" s="14" t="n">
        <v>11.33</v>
      </c>
      <c r="J393" s="0" t="n">
        <v>6</v>
      </c>
      <c r="L393" s="0" t="n">
        <v>1</v>
      </c>
      <c r="M393" s="6" t="n">
        <v>11.33</v>
      </c>
      <c r="N393" s="5" t="s">
        <v>77</v>
      </c>
    </row>
    <row r="394" customFormat="false" ht="15" hidden="false" customHeight="false" outlineLevel="0" collapsed="false">
      <c r="A394" s="4" t="n">
        <v>46147</v>
      </c>
      <c r="B394" s="5" t="s">
        <v>32</v>
      </c>
      <c r="C394" s="5" t="s">
        <v>29</v>
      </c>
      <c r="E394" s="5" t="s">
        <v>128</v>
      </c>
      <c r="F394" s="5" t="s">
        <v>129</v>
      </c>
      <c r="G394" s="5" t="s">
        <v>78</v>
      </c>
      <c r="H394" s="14" t="n">
        <v>18.03</v>
      </c>
      <c r="I394" s="14" t="n">
        <v>18.03</v>
      </c>
      <c r="J394" s="0" t="n">
        <v>1</v>
      </c>
      <c r="L394" s="0" t="n">
        <v>3</v>
      </c>
      <c r="M394" s="6" t="n">
        <v>54.09</v>
      </c>
      <c r="N394" s="5" t="s">
        <v>115</v>
      </c>
    </row>
    <row r="395" customFormat="false" ht="15" hidden="false" customHeight="false" outlineLevel="0" collapsed="false">
      <c r="A395" s="4" t="n">
        <v>46147</v>
      </c>
      <c r="B395" s="5" t="s">
        <v>32</v>
      </c>
      <c r="C395" s="5" t="s">
        <v>29</v>
      </c>
      <c r="D395" s="5" t="s">
        <v>81</v>
      </c>
      <c r="E395" s="5" t="s">
        <v>105</v>
      </c>
      <c r="F395" s="5" t="s">
        <v>106</v>
      </c>
      <c r="G395" s="5" t="s">
        <v>386</v>
      </c>
      <c r="H395" s="14" t="n">
        <v>0.86</v>
      </c>
      <c r="I395" s="14" t="n">
        <v>20.64</v>
      </c>
      <c r="J395" s="0" t="n">
        <v>24</v>
      </c>
      <c r="L395" s="0" t="n">
        <v>3</v>
      </c>
      <c r="M395" s="6" t="n">
        <v>61.92</v>
      </c>
      <c r="N395" s="5" t="s">
        <v>77</v>
      </c>
    </row>
    <row r="396" customFormat="false" ht="15" hidden="false" customHeight="false" outlineLevel="0" collapsed="false">
      <c r="A396" s="21" t="n">
        <v>46147</v>
      </c>
      <c r="B396" s="22" t="s">
        <v>32</v>
      </c>
      <c r="C396" s="22" t="s">
        <v>29</v>
      </c>
      <c r="D396" s="22" t="s">
        <v>81</v>
      </c>
      <c r="E396" s="22" t="s">
        <v>150</v>
      </c>
      <c r="F396" s="22" t="s">
        <v>151</v>
      </c>
      <c r="G396" s="22" t="s">
        <v>386</v>
      </c>
      <c r="H396" s="16" t="n">
        <v>0.874</v>
      </c>
      <c r="I396" s="16" t="n">
        <v>20.98</v>
      </c>
      <c r="J396" s="22" t="n">
        <v>24</v>
      </c>
      <c r="K396" s="22"/>
      <c r="L396" s="22" t="n">
        <v>1</v>
      </c>
      <c r="M396" s="23" t="n">
        <v>20.98</v>
      </c>
      <c r="N396" s="22" t="s">
        <v>77</v>
      </c>
      <c r="O396" s="22" t="s">
        <v>387</v>
      </c>
    </row>
    <row r="397" customFormat="false" ht="15" hidden="false" customHeight="false" outlineLevel="0" collapsed="false">
      <c r="A397" s="4" t="n">
        <v>46147</v>
      </c>
      <c r="B397" s="5" t="s">
        <v>32</v>
      </c>
      <c r="C397" s="5" t="s">
        <v>29</v>
      </c>
      <c r="D397" s="5" t="s">
        <v>81</v>
      </c>
      <c r="E397" s="5" t="s">
        <v>101</v>
      </c>
      <c r="F397" s="5" t="s">
        <v>102</v>
      </c>
      <c r="G397" s="5" t="s">
        <v>386</v>
      </c>
      <c r="H397" s="14" t="n">
        <v>1.017</v>
      </c>
      <c r="I397" s="14" t="n">
        <v>24.41</v>
      </c>
      <c r="J397" s="0" t="n">
        <v>24</v>
      </c>
      <c r="L397" s="0" t="n">
        <v>3</v>
      </c>
      <c r="M397" s="6" t="n">
        <v>73.23</v>
      </c>
      <c r="N397" s="5" t="s">
        <v>77</v>
      </c>
    </row>
    <row r="398" customFormat="false" ht="15" hidden="false" customHeight="false" outlineLevel="0" collapsed="false">
      <c r="A398" s="21" t="n">
        <v>46147</v>
      </c>
      <c r="B398" s="22" t="s">
        <v>32</v>
      </c>
      <c r="C398" s="22" t="s">
        <v>29</v>
      </c>
      <c r="D398" s="22" t="s">
        <v>81</v>
      </c>
      <c r="E398" s="22" t="s">
        <v>84</v>
      </c>
      <c r="F398" s="22" t="s">
        <v>85</v>
      </c>
      <c r="G398" s="22" t="s">
        <v>386</v>
      </c>
      <c r="H398" s="16" t="n">
        <v>1.565</v>
      </c>
      <c r="I398" s="16" t="n">
        <v>18.78</v>
      </c>
      <c r="J398" s="22" t="n">
        <v>12</v>
      </c>
      <c r="K398" s="22"/>
      <c r="L398" s="22" t="n">
        <v>2</v>
      </c>
      <c r="M398" s="23" t="n">
        <v>37.56</v>
      </c>
      <c r="N398" s="22" t="s">
        <v>77</v>
      </c>
      <c r="O398" s="22" t="s">
        <v>387</v>
      </c>
    </row>
    <row r="399" customFormat="false" ht="15" hidden="false" customHeight="false" outlineLevel="0" collapsed="false">
      <c r="A399" s="21" t="n">
        <v>46147</v>
      </c>
      <c r="B399" s="22" t="s">
        <v>32</v>
      </c>
      <c r="C399" s="22" t="s">
        <v>29</v>
      </c>
      <c r="D399" s="22" t="s">
        <v>81</v>
      </c>
      <c r="E399" s="22" t="s">
        <v>86</v>
      </c>
      <c r="F399" s="22" t="s">
        <v>87</v>
      </c>
      <c r="G399" s="22" t="s">
        <v>386</v>
      </c>
      <c r="H399" s="16" t="n">
        <v>1.536</v>
      </c>
      <c r="I399" s="16" t="n">
        <v>18.43</v>
      </c>
      <c r="J399" s="22" t="n">
        <v>12</v>
      </c>
      <c r="K399" s="22"/>
      <c r="L399" s="22" t="n">
        <v>2</v>
      </c>
      <c r="M399" s="23" t="n">
        <v>36.86</v>
      </c>
      <c r="N399" s="22" t="s">
        <v>77</v>
      </c>
      <c r="O399" s="22" t="s">
        <v>387</v>
      </c>
    </row>
    <row r="400" customFormat="false" ht="15" hidden="false" customHeight="false" outlineLevel="0" collapsed="false">
      <c r="A400" s="21" t="n">
        <v>46147</v>
      </c>
      <c r="B400" s="22" t="s">
        <v>32</v>
      </c>
      <c r="C400" s="22" t="s">
        <v>29</v>
      </c>
      <c r="D400" s="22" t="s">
        <v>81</v>
      </c>
      <c r="E400" s="22" t="s">
        <v>88</v>
      </c>
      <c r="F400" s="22" t="s">
        <v>89</v>
      </c>
      <c r="G400" s="22" t="s">
        <v>386</v>
      </c>
      <c r="H400" s="16" t="n">
        <v>1.343</v>
      </c>
      <c r="I400" s="16" t="n">
        <v>16.11</v>
      </c>
      <c r="J400" s="22" t="n">
        <v>12</v>
      </c>
      <c r="K400" s="22"/>
      <c r="L400" s="22" t="n">
        <v>2</v>
      </c>
      <c r="M400" s="23" t="n">
        <v>32.22</v>
      </c>
      <c r="N400" s="22" t="s">
        <v>77</v>
      </c>
      <c r="O400" s="22" t="s">
        <v>387</v>
      </c>
    </row>
    <row r="401" customFormat="false" ht="15" hidden="false" customHeight="false" outlineLevel="0" collapsed="false">
      <c r="A401" s="21" t="n">
        <v>46147</v>
      </c>
      <c r="B401" s="22" t="s">
        <v>32</v>
      </c>
      <c r="C401" s="22" t="s">
        <v>29</v>
      </c>
      <c r="D401" s="22" t="s">
        <v>81</v>
      </c>
      <c r="E401" s="22" t="s">
        <v>109</v>
      </c>
      <c r="F401" s="22" t="s">
        <v>110</v>
      </c>
      <c r="G401" s="22" t="s">
        <v>386</v>
      </c>
      <c r="H401" s="16" t="n">
        <v>0.612</v>
      </c>
      <c r="I401" s="16" t="n">
        <v>14.68</v>
      </c>
      <c r="J401" s="22" t="n">
        <v>24</v>
      </c>
      <c r="K401" s="22"/>
      <c r="L401" s="22" t="n">
        <v>2</v>
      </c>
      <c r="M401" s="23" t="n">
        <v>29.36</v>
      </c>
      <c r="N401" s="22" t="s">
        <v>77</v>
      </c>
      <c r="O401" s="22" t="s">
        <v>387</v>
      </c>
    </row>
    <row r="402" customFormat="false" ht="15" hidden="false" customHeight="false" outlineLevel="0" collapsed="false">
      <c r="A402" s="21" t="n">
        <v>46147</v>
      </c>
      <c r="B402" s="22" t="s">
        <v>32</v>
      </c>
      <c r="C402" s="22" t="s">
        <v>29</v>
      </c>
      <c r="D402" s="22" t="s">
        <v>81</v>
      </c>
      <c r="E402" s="22" t="s">
        <v>111</v>
      </c>
      <c r="F402" s="22" t="s">
        <v>112</v>
      </c>
      <c r="G402" s="22" t="s">
        <v>386</v>
      </c>
      <c r="H402" s="16" t="n">
        <v>0.748</v>
      </c>
      <c r="I402" s="16" t="n">
        <v>17.94</v>
      </c>
      <c r="J402" s="22" t="n">
        <v>24</v>
      </c>
      <c r="K402" s="22"/>
      <c r="L402" s="22" t="n">
        <v>2</v>
      </c>
      <c r="M402" s="23" t="n">
        <v>35.88</v>
      </c>
      <c r="N402" s="22" t="s">
        <v>77</v>
      </c>
      <c r="O402" s="22" t="s">
        <v>387</v>
      </c>
    </row>
    <row r="403" customFormat="false" ht="15" hidden="false" customHeight="false" outlineLevel="0" collapsed="false">
      <c r="A403" s="21" t="n">
        <v>46147</v>
      </c>
      <c r="B403" s="22" t="s">
        <v>32</v>
      </c>
      <c r="C403" s="22" t="s">
        <v>29</v>
      </c>
      <c r="D403" s="22" t="s">
        <v>81</v>
      </c>
      <c r="E403" s="22" t="s">
        <v>90</v>
      </c>
      <c r="F403" s="22" t="s">
        <v>91</v>
      </c>
      <c r="G403" s="22" t="s">
        <v>386</v>
      </c>
      <c r="H403" s="16" t="n">
        <v>0.68</v>
      </c>
      <c r="I403" s="16" t="n">
        <v>16.31</v>
      </c>
      <c r="J403" s="22" t="n">
        <v>24</v>
      </c>
      <c r="K403" s="22"/>
      <c r="L403" s="22" t="n">
        <v>2</v>
      </c>
      <c r="M403" s="23" t="n">
        <v>32.62</v>
      </c>
      <c r="N403" s="22" t="s">
        <v>77</v>
      </c>
      <c r="O403" s="22" t="s">
        <v>387</v>
      </c>
    </row>
    <row r="404" customFormat="false" ht="15" hidden="false" customHeight="false" outlineLevel="0" collapsed="false">
      <c r="A404" s="4" t="n">
        <v>46147</v>
      </c>
      <c r="B404" s="5" t="s">
        <v>32</v>
      </c>
      <c r="C404" s="5" t="s">
        <v>29</v>
      </c>
      <c r="D404" s="5" t="s">
        <v>81</v>
      </c>
      <c r="E404" s="5" t="s">
        <v>79</v>
      </c>
      <c r="F404" s="5" t="s">
        <v>80</v>
      </c>
      <c r="G404" s="5" t="s">
        <v>386</v>
      </c>
      <c r="H404" s="14" t="n">
        <v>0.769</v>
      </c>
      <c r="I404" s="14" t="n">
        <v>18.46</v>
      </c>
      <c r="J404" s="0" t="n">
        <v>24</v>
      </c>
      <c r="L404" s="0" t="n">
        <v>7</v>
      </c>
      <c r="M404" s="6" t="n">
        <v>129.22</v>
      </c>
      <c r="N404" s="5" t="s">
        <v>77</v>
      </c>
    </row>
    <row r="405" customFormat="false" ht="15" hidden="false" customHeight="false" outlineLevel="0" collapsed="false">
      <c r="A405" s="4" t="n">
        <v>46147</v>
      </c>
      <c r="B405" s="5" t="s">
        <v>32</v>
      </c>
      <c r="C405" s="5" t="s">
        <v>29</v>
      </c>
      <c r="D405" s="5" t="s">
        <v>81</v>
      </c>
      <c r="E405" s="5" t="s">
        <v>144</v>
      </c>
      <c r="F405" s="5" t="s">
        <v>145</v>
      </c>
      <c r="G405" s="5" t="s">
        <v>386</v>
      </c>
      <c r="H405" s="14" t="n">
        <v>0.852</v>
      </c>
      <c r="I405" s="14" t="n">
        <v>20.45</v>
      </c>
      <c r="J405" s="0" t="n">
        <v>24</v>
      </c>
      <c r="L405" s="0" t="n">
        <v>4</v>
      </c>
      <c r="M405" s="6" t="n">
        <v>81.8</v>
      </c>
      <c r="N405" s="5" t="s">
        <v>77</v>
      </c>
    </row>
    <row r="406" customFormat="false" ht="15" hidden="false" customHeight="false" outlineLevel="0" collapsed="false">
      <c r="A406" s="4" t="n">
        <v>46147</v>
      </c>
      <c r="B406" s="5" t="s">
        <v>32</v>
      </c>
      <c r="C406" s="5" t="s">
        <v>29</v>
      </c>
      <c r="D406" s="5" t="s">
        <v>81</v>
      </c>
      <c r="E406" s="5" t="s">
        <v>142</v>
      </c>
      <c r="F406" s="5" t="s">
        <v>143</v>
      </c>
      <c r="G406" s="5" t="s">
        <v>386</v>
      </c>
      <c r="H406" s="14" t="n">
        <v>0.852</v>
      </c>
      <c r="I406" s="14" t="n">
        <v>20.45</v>
      </c>
      <c r="J406" s="0" t="n">
        <v>24</v>
      </c>
      <c r="L406" s="0" t="n">
        <v>2</v>
      </c>
      <c r="M406" s="6" t="n">
        <v>40.9</v>
      </c>
      <c r="N406" s="5" t="s">
        <v>77</v>
      </c>
    </row>
    <row r="407" customFormat="false" ht="15" hidden="false" customHeight="false" outlineLevel="0" collapsed="false">
      <c r="A407" s="4" t="n">
        <v>46147</v>
      </c>
      <c r="B407" s="5" t="s">
        <v>32</v>
      </c>
      <c r="C407" s="5" t="s">
        <v>29</v>
      </c>
      <c r="D407" s="5" t="s">
        <v>81</v>
      </c>
      <c r="E407" s="5" t="s">
        <v>103</v>
      </c>
      <c r="F407" s="5" t="s">
        <v>104</v>
      </c>
      <c r="G407" s="5" t="s">
        <v>386</v>
      </c>
      <c r="H407" s="14" t="n">
        <v>0.823</v>
      </c>
      <c r="I407" s="14" t="n">
        <v>19.74</v>
      </c>
      <c r="J407" s="0" t="n">
        <v>24</v>
      </c>
      <c r="L407" s="0" t="n">
        <v>2</v>
      </c>
      <c r="M407" s="6" t="n">
        <v>39.48</v>
      </c>
      <c r="N407" s="5" t="s">
        <v>77</v>
      </c>
    </row>
    <row r="408" customFormat="false" ht="15" hidden="false" customHeight="false" outlineLevel="0" collapsed="false">
      <c r="A408" s="21" t="n">
        <v>46147</v>
      </c>
      <c r="B408" s="22" t="s">
        <v>32</v>
      </c>
      <c r="C408" s="22" t="s">
        <v>29</v>
      </c>
      <c r="D408" s="22" t="s">
        <v>81</v>
      </c>
      <c r="E408" s="22" t="s">
        <v>138</v>
      </c>
      <c r="F408" s="22" t="s">
        <v>139</v>
      </c>
      <c r="G408" s="22" t="s">
        <v>386</v>
      </c>
      <c r="H408" s="16" t="n">
        <v>0.589</v>
      </c>
      <c r="I408" s="16" t="n">
        <v>14.14</v>
      </c>
      <c r="J408" s="22" t="n">
        <v>24</v>
      </c>
      <c r="K408" s="22"/>
      <c r="L408" s="22" t="n">
        <v>2</v>
      </c>
      <c r="M408" s="23" t="n">
        <v>28.28</v>
      </c>
      <c r="N408" s="22" t="s">
        <v>77</v>
      </c>
      <c r="O408" s="22" t="s">
        <v>387</v>
      </c>
    </row>
    <row r="409" customFormat="false" ht="15" hidden="false" customHeight="false" outlineLevel="0" collapsed="false">
      <c r="A409" s="4" t="n">
        <v>46147</v>
      </c>
      <c r="B409" s="5" t="s">
        <v>32</v>
      </c>
      <c r="C409" s="5" t="s">
        <v>29</v>
      </c>
      <c r="D409" s="5" t="s">
        <v>81</v>
      </c>
      <c r="E409" s="5" t="s">
        <v>99</v>
      </c>
      <c r="F409" s="5" t="s">
        <v>100</v>
      </c>
      <c r="G409" s="5" t="s">
        <v>386</v>
      </c>
      <c r="H409" s="14" t="n">
        <v>0.718</v>
      </c>
      <c r="I409" s="14" t="n">
        <v>17.24</v>
      </c>
      <c r="J409" s="0" t="n">
        <v>24</v>
      </c>
      <c r="L409" s="0" t="n">
        <v>2</v>
      </c>
      <c r="M409" s="6" t="n">
        <v>34.48</v>
      </c>
      <c r="N409" s="5" t="s">
        <v>77</v>
      </c>
    </row>
    <row r="410" customFormat="false" ht="15" hidden="false" customHeight="false" outlineLevel="0" collapsed="false">
      <c r="A410" s="21" t="n">
        <v>46147</v>
      </c>
      <c r="B410" s="22" t="s">
        <v>32</v>
      </c>
      <c r="C410" s="22" t="s">
        <v>29</v>
      </c>
      <c r="D410" s="22" t="s">
        <v>81</v>
      </c>
      <c r="E410" s="22" t="s">
        <v>140</v>
      </c>
      <c r="F410" s="22" t="s">
        <v>141</v>
      </c>
      <c r="G410" s="22" t="s">
        <v>386</v>
      </c>
      <c r="H410" s="16" t="n">
        <v>0.558</v>
      </c>
      <c r="I410" s="16" t="n">
        <v>13.38</v>
      </c>
      <c r="J410" s="22" t="n">
        <v>24</v>
      </c>
      <c r="K410" s="22"/>
      <c r="L410" s="22" t="n">
        <v>2</v>
      </c>
      <c r="M410" s="23" t="n">
        <v>26.76</v>
      </c>
      <c r="N410" s="22" t="s">
        <v>77</v>
      </c>
      <c r="O410" s="22" t="s">
        <v>387</v>
      </c>
    </row>
    <row r="411" customFormat="false" ht="15" hidden="false" customHeight="false" outlineLevel="0" collapsed="false">
      <c r="A411" s="21" t="n">
        <v>46147</v>
      </c>
      <c r="B411" s="22" t="s">
        <v>32</v>
      </c>
      <c r="C411" s="22" t="s">
        <v>29</v>
      </c>
      <c r="D411" s="22" t="s">
        <v>81</v>
      </c>
      <c r="E411" s="22" t="s">
        <v>107</v>
      </c>
      <c r="F411" s="22" t="s">
        <v>108</v>
      </c>
      <c r="G411" s="22" t="s">
        <v>386</v>
      </c>
      <c r="H411" s="16" t="n">
        <v>0.758</v>
      </c>
      <c r="I411" s="16" t="n">
        <v>18.18</v>
      </c>
      <c r="J411" s="22" t="n">
        <v>24</v>
      </c>
      <c r="K411" s="22"/>
      <c r="L411" s="22" t="n">
        <v>4</v>
      </c>
      <c r="M411" s="23" t="n">
        <v>72.72</v>
      </c>
      <c r="N411" s="22" t="s">
        <v>77</v>
      </c>
      <c r="O411" s="22" t="s">
        <v>387</v>
      </c>
    </row>
    <row r="412" customFormat="false" ht="15" hidden="false" customHeight="false" outlineLevel="0" collapsed="false">
      <c r="A412" s="4" t="n">
        <v>46147</v>
      </c>
      <c r="B412" s="5" t="s">
        <v>32</v>
      </c>
      <c r="C412" s="5" t="s">
        <v>29</v>
      </c>
      <c r="D412" s="5" t="s">
        <v>81</v>
      </c>
      <c r="E412" s="5" t="s">
        <v>154</v>
      </c>
      <c r="F412" s="5" t="s">
        <v>155</v>
      </c>
      <c r="G412" s="5" t="s">
        <v>386</v>
      </c>
      <c r="H412" s="14" t="n">
        <v>0.703</v>
      </c>
      <c r="I412" s="14" t="n">
        <v>16.88</v>
      </c>
      <c r="J412" s="0" t="n">
        <v>24</v>
      </c>
      <c r="L412" s="0" t="n">
        <v>4</v>
      </c>
      <c r="M412" s="6" t="n">
        <v>67.52</v>
      </c>
      <c r="N412" s="5" t="s">
        <v>77</v>
      </c>
    </row>
    <row r="413" customFormat="false" ht="15" hidden="false" customHeight="false" outlineLevel="0" collapsed="false">
      <c r="A413" s="4" t="n">
        <v>46147</v>
      </c>
      <c r="B413" s="5" t="s">
        <v>32</v>
      </c>
      <c r="C413" s="5" t="s">
        <v>29</v>
      </c>
      <c r="D413" s="5" t="s">
        <v>98</v>
      </c>
      <c r="E413" s="5" t="s">
        <v>189</v>
      </c>
      <c r="F413" s="5" t="s">
        <v>190</v>
      </c>
      <c r="G413" s="5" t="s">
        <v>78</v>
      </c>
      <c r="H413" s="14" t="n">
        <v>2.94</v>
      </c>
      <c r="I413" s="14" t="n">
        <v>2.94</v>
      </c>
      <c r="J413" s="0" t="n">
        <v>1</v>
      </c>
      <c r="L413" s="0" t="n">
        <v>13</v>
      </c>
      <c r="M413" s="6" t="n">
        <v>38.22</v>
      </c>
      <c r="N413" s="5" t="s">
        <v>77</v>
      </c>
    </row>
    <row r="414" customFormat="false" ht="15" hidden="false" customHeight="false" outlineLevel="0" collapsed="false">
      <c r="A414" s="4" t="n">
        <v>46147</v>
      </c>
      <c r="B414" s="5" t="s">
        <v>32</v>
      </c>
      <c r="C414" s="5" t="s">
        <v>29</v>
      </c>
      <c r="D414" s="5" t="s">
        <v>98</v>
      </c>
      <c r="E414" s="5" t="s">
        <v>186</v>
      </c>
      <c r="F414" s="5" t="s">
        <v>187</v>
      </c>
      <c r="G414" s="5" t="s">
        <v>386</v>
      </c>
      <c r="H414" s="14" t="n">
        <v>1.043</v>
      </c>
      <c r="I414" s="14" t="n">
        <v>6.26</v>
      </c>
      <c r="J414" s="0" t="n">
        <v>6</v>
      </c>
      <c r="L414" s="0" t="n">
        <v>2</v>
      </c>
      <c r="M414" s="6" t="n">
        <v>12.52</v>
      </c>
      <c r="N414" s="5" t="s">
        <v>77</v>
      </c>
    </row>
    <row r="415" customFormat="false" ht="15" hidden="false" customHeight="false" outlineLevel="0" collapsed="false">
      <c r="A415" s="4" t="n">
        <v>46147</v>
      </c>
      <c r="B415" s="5" t="s">
        <v>32</v>
      </c>
      <c r="C415" s="5" t="s">
        <v>29</v>
      </c>
      <c r="D415" s="5" t="s">
        <v>160</v>
      </c>
      <c r="E415" s="5" t="s">
        <v>172</v>
      </c>
      <c r="F415" s="5" t="s">
        <v>173</v>
      </c>
      <c r="G415" s="5" t="s">
        <v>78</v>
      </c>
      <c r="H415" s="14" t="n">
        <v>12</v>
      </c>
      <c r="I415" s="14" t="n">
        <v>12</v>
      </c>
      <c r="J415" s="0" t="n">
        <v>1</v>
      </c>
      <c r="L415" s="0" t="n">
        <v>9</v>
      </c>
      <c r="M415" s="6" t="n">
        <v>108</v>
      </c>
      <c r="N415" s="5" t="s">
        <v>115</v>
      </c>
    </row>
    <row r="416" customFormat="false" ht="15" hidden="false" customHeight="false" outlineLevel="0" collapsed="false">
      <c r="A416" s="4" t="n">
        <v>46147</v>
      </c>
      <c r="B416" s="5" t="s">
        <v>32</v>
      </c>
      <c r="C416" s="5" t="s">
        <v>29</v>
      </c>
      <c r="D416" s="5" t="s">
        <v>160</v>
      </c>
      <c r="E416" s="5" t="s">
        <v>165</v>
      </c>
      <c r="F416" s="5" t="s">
        <v>166</v>
      </c>
      <c r="G416" s="5" t="s">
        <v>78</v>
      </c>
      <c r="H416" s="14" t="n">
        <v>7.69</v>
      </c>
      <c r="I416" s="14" t="n">
        <v>7.69</v>
      </c>
      <c r="J416" s="0" t="n">
        <v>1</v>
      </c>
      <c r="L416" s="0" t="n">
        <v>2</v>
      </c>
      <c r="M416" s="6" t="n">
        <v>15.38</v>
      </c>
      <c r="N416" s="5" t="s">
        <v>115</v>
      </c>
    </row>
  </sheetData>
  <autoFilter ref="A4:O416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1" t="s">
        <v>388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389</v>
      </c>
      <c r="B2" s="2"/>
      <c r="C2" s="2"/>
      <c r="D2" s="2"/>
      <c r="E2" s="2"/>
      <c r="F2" s="2"/>
      <c r="G2" s="2"/>
      <c r="H2" s="2"/>
      <c r="I2" s="2"/>
    </row>
    <row r="4" customFormat="false" ht="28.3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377</v>
      </c>
      <c r="E4" s="3" t="s">
        <v>3</v>
      </c>
      <c r="F4" s="3" t="s">
        <v>380</v>
      </c>
      <c r="G4" s="3" t="s">
        <v>383</v>
      </c>
      <c r="H4" s="3" t="s">
        <v>384</v>
      </c>
      <c r="I4" s="3" t="s">
        <v>385</v>
      </c>
    </row>
    <row r="5" customFormat="false" ht="15" hidden="false" customHeight="false" outlineLevel="0" collapsed="false">
      <c r="A5" s="0" t="s">
        <v>197</v>
      </c>
      <c r="B5" s="0" t="s">
        <v>198</v>
      </c>
      <c r="C5" s="0" t="s">
        <v>199</v>
      </c>
      <c r="D5" s="4" t="n">
        <v>45979</v>
      </c>
      <c r="E5" s="5" t="s">
        <v>13</v>
      </c>
      <c r="F5" s="14" t="n">
        <v>1.32</v>
      </c>
      <c r="G5" s="0" t="n">
        <v>7</v>
      </c>
      <c r="H5" s="6" t="n">
        <v>9.24</v>
      </c>
    </row>
    <row r="6" customFormat="false" ht="15" hidden="false" customHeight="false" outlineLevel="0" collapsed="false">
      <c r="A6" s="0" t="s">
        <v>197</v>
      </c>
      <c r="B6" s="0" t="s">
        <v>198</v>
      </c>
      <c r="C6" s="0" t="s">
        <v>199</v>
      </c>
      <c r="D6" s="4" t="n">
        <v>46002</v>
      </c>
      <c r="E6" s="5" t="s">
        <v>20</v>
      </c>
      <c r="F6" s="14" t="n">
        <v>1.32</v>
      </c>
      <c r="G6" s="0" t="n">
        <v>4</v>
      </c>
      <c r="H6" s="6" t="n">
        <v>5.28</v>
      </c>
    </row>
    <row r="7" customFormat="false" ht="15" hidden="false" customHeight="false" outlineLevel="0" collapsed="false">
      <c r="A7" s="0" t="s">
        <v>197</v>
      </c>
      <c r="B7" s="0" t="s">
        <v>198</v>
      </c>
      <c r="C7" s="0" t="s">
        <v>199</v>
      </c>
      <c r="D7" s="4" t="n">
        <v>46007</v>
      </c>
      <c r="E7" s="5" t="s">
        <v>21</v>
      </c>
      <c r="F7" s="14" t="n">
        <v>1.32</v>
      </c>
      <c r="G7" s="0" t="n">
        <v>4</v>
      </c>
      <c r="H7" s="6" t="n">
        <v>5.28</v>
      </c>
    </row>
    <row r="8" customFormat="false" ht="15" hidden="false" customHeight="false" outlineLevel="0" collapsed="false">
      <c r="A8" s="0" t="s">
        <v>197</v>
      </c>
      <c r="B8" s="0" t="s">
        <v>198</v>
      </c>
      <c r="C8" s="0" t="s">
        <v>199</v>
      </c>
      <c r="D8" s="4" t="n">
        <v>46007</v>
      </c>
      <c r="E8" s="5" t="s">
        <v>22</v>
      </c>
      <c r="F8" s="14" t="n">
        <v>1.32</v>
      </c>
      <c r="G8" s="0" t="n">
        <v>4</v>
      </c>
      <c r="H8" s="6" t="n">
        <v>5.28</v>
      </c>
    </row>
    <row r="9" customFormat="false" ht="15" hidden="false" customHeight="false" outlineLevel="0" collapsed="false">
      <c r="A9" s="0" t="s">
        <v>197</v>
      </c>
      <c r="B9" s="0" t="s">
        <v>198</v>
      </c>
      <c r="C9" s="0" t="s">
        <v>199</v>
      </c>
      <c r="D9" s="4" t="n">
        <v>46097</v>
      </c>
      <c r="E9" s="5" t="s">
        <v>27</v>
      </c>
      <c r="F9" s="14" t="n">
        <v>1.32</v>
      </c>
      <c r="G9" s="0" t="n">
        <v>5</v>
      </c>
      <c r="H9" s="6" t="n">
        <v>6.6</v>
      </c>
    </row>
    <row r="10" customFormat="false" ht="15" hidden="false" customHeight="false" outlineLevel="0" collapsed="false">
      <c r="A10" s="0" t="s">
        <v>113</v>
      </c>
      <c r="B10" s="0" t="s">
        <v>114</v>
      </c>
      <c r="C10" s="0" t="s">
        <v>76</v>
      </c>
      <c r="D10" s="4" t="n">
        <v>45967</v>
      </c>
      <c r="E10" s="5" t="s">
        <v>11</v>
      </c>
      <c r="F10" s="14" t="n">
        <v>11.81</v>
      </c>
      <c r="G10" s="0" t="n">
        <v>1</v>
      </c>
      <c r="H10" s="6" t="n">
        <v>11.81</v>
      </c>
    </row>
    <row r="11" customFormat="false" ht="15" hidden="false" customHeight="false" outlineLevel="0" collapsed="false">
      <c r="A11" s="0" t="s">
        <v>113</v>
      </c>
      <c r="B11" s="0" t="s">
        <v>114</v>
      </c>
      <c r="C11" s="0" t="s">
        <v>76</v>
      </c>
      <c r="D11" s="4" t="n">
        <v>45979</v>
      </c>
      <c r="E11" s="5" t="s">
        <v>13</v>
      </c>
      <c r="F11" s="14" t="n">
        <v>11.81</v>
      </c>
      <c r="G11" s="0" t="n">
        <v>1</v>
      </c>
      <c r="H11" s="6" t="n">
        <v>11.81</v>
      </c>
    </row>
    <row r="12" customFormat="false" ht="15" hidden="false" customHeight="false" outlineLevel="0" collapsed="false">
      <c r="A12" s="0" t="s">
        <v>113</v>
      </c>
      <c r="B12" s="0" t="s">
        <v>114</v>
      </c>
      <c r="C12" s="0" t="s">
        <v>76</v>
      </c>
      <c r="D12" s="4" t="n">
        <v>46007</v>
      </c>
      <c r="E12" s="5" t="s">
        <v>22</v>
      </c>
      <c r="F12" s="14" t="n">
        <v>11.81</v>
      </c>
      <c r="G12" s="0" t="n">
        <v>1</v>
      </c>
      <c r="H12" s="6" t="n">
        <v>11.81</v>
      </c>
    </row>
    <row r="13" customFormat="false" ht="15" hidden="false" customHeight="false" outlineLevel="0" collapsed="false">
      <c r="A13" s="0" t="s">
        <v>113</v>
      </c>
      <c r="B13" s="0" t="s">
        <v>114</v>
      </c>
      <c r="C13" s="0" t="s">
        <v>76</v>
      </c>
      <c r="D13" s="4" t="n">
        <v>46083</v>
      </c>
      <c r="E13" s="5" t="s">
        <v>26</v>
      </c>
      <c r="F13" s="14" t="n">
        <v>11.81</v>
      </c>
      <c r="G13" s="0" t="n">
        <v>2</v>
      </c>
      <c r="H13" s="6" t="n">
        <v>23.62</v>
      </c>
    </row>
    <row r="14" customFormat="false" ht="15" hidden="false" customHeight="false" outlineLevel="0" collapsed="false">
      <c r="A14" s="0" t="s">
        <v>113</v>
      </c>
      <c r="B14" s="0" t="s">
        <v>114</v>
      </c>
      <c r="C14" s="0" t="s">
        <v>76</v>
      </c>
      <c r="D14" s="4" t="n">
        <v>46097</v>
      </c>
      <c r="E14" s="5" t="s">
        <v>27</v>
      </c>
      <c r="F14" s="14" t="n">
        <v>13.14</v>
      </c>
      <c r="G14" s="0" t="n">
        <v>1</v>
      </c>
      <c r="H14" s="6" t="n">
        <v>13.14</v>
      </c>
    </row>
    <row r="15" customFormat="false" ht="15" hidden="false" customHeight="false" outlineLevel="0" collapsed="false">
      <c r="A15" s="0" t="s">
        <v>113</v>
      </c>
      <c r="B15" s="0" t="s">
        <v>114</v>
      </c>
      <c r="C15" s="0" t="s">
        <v>76</v>
      </c>
      <c r="D15" s="4" t="n">
        <v>46125</v>
      </c>
      <c r="E15" s="5" t="s">
        <v>31</v>
      </c>
      <c r="F15" s="14" t="n">
        <v>15.16</v>
      </c>
      <c r="G15" s="0" t="n">
        <v>1</v>
      </c>
      <c r="H15" s="6" t="n">
        <v>15.16</v>
      </c>
    </row>
    <row r="16" customFormat="false" ht="15" hidden="false" customHeight="false" outlineLevel="0" collapsed="false">
      <c r="A16" s="0" t="s">
        <v>200</v>
      </c>
      <c r="B16" s="0" t="s">
        <v>201</v>
      </c>
      <c r="C16" s="0" t="s">
        <v>160</v>
      </c>
      <c r="D16" s="4" t="n">
        <v>46000</v>
      </c>
      <c r="E16" s="5" t="s">
        <v>19</v>
      </c>
      <c r="F16" s="14" t="n">
        <v>23.94</v>
      </c>
      <c r="G16" s="0" t="n">
        <v>1</v>
      </c>
      <c r="H16" s="6" t="n">
        <v>23.94</v>
      </c>
    </row>
    <row r="17" customFormat="false" ht="15" hidden="false" customHeight="false" outlineLevel="0" collapsed="false">
      <c r="A17" s="0" t="s">
        <v>202</v>
      </c>
      <c r="B17" s="0" t="s">
        <v>203</v>
      </c>
      <c r="C17" s="0" t="s">
        <v>160</v>
      </c>
      <c r="D17" s="4" t="n">
        <v>45979</v>
      </c>
      <c r="E17" s="5" t="s">
        <v>13</v>
      </c>
      <c r="F17" s="14" t="n">
        <v>15.35</v>
      </c>
      <c r="G17" s="0" t="n">
        <v>1</v>
      </c>
      <c r="H17" s="6" t="n">
        <v>15.35</v>
      </c>
    </row>
    <row r="18" customFormat="false" ht="15" hidden="false" customHeight="false" outlineLevel="0" collapsed="false">
      <c r="A18" s="0" t="s">
        <v>204</v>
      </c>
      <c r="B18" s="0" t="s">
        <v>205</v>
      </c>
      <c r="C18" s="0" t="s">
        <v>160</v>
      </c>
      <c r="D18" s="4" t="n">
        <v>46007</v>
      </c>
      <c r="E18" s="5" t="s">
        <v>21</v>
      </c>
      <c r="F18" s="14" t="n">
        <v>7.9</v>
      </c>
      <c r="G18" s="0" t="n">
        <v>3</v>
      </c>
      <c r="H18" s="6" t="n">
        <v>23.7</v>
      </c>
    </row>
    <row r="19" customFormat="false" ht="15" hidden="false" customHeight="false" outlineLevel="0" collapsed="false">
      <c r="A19" s="0" t="s">
        <v>116</v>
      </c>
      <c r="B19" s="0" t="s">
        <v>117</v>
      </c>
      <c r="C19" s="0" t="s">
        <v>76</v>
      </c>
      <c r="D19" s="4" t="n">
        <v>45967</v>
      </c>
      <c r="E19" s="5" t="s">
        <v>11</v>
      </c>
      <c r="F19" s="14" t="n">
        <v>13.46</v>
      </c>
      <c r="G19" s="0" t="n">
        <v>1</v>
      </c>
      <c r="H19" s="6" t="n">
        <v>13.46</v>
      </c>
    </row>
    <row r="20" customFormat="false" ht="15" hidden="false" customHeight="false" outlineLevel="0" collapsed="false">
      <c r="A20" s="0" t="s">
        <v>116</v>
      </c>
      <c r="B20" s="0" t="s">
        <v>117</v>
      </c>
      <c r="C20" s="0" t="s">
        <v>76</v>
      </c>
      <c r="D20" s="4" t="n">
        <v>46000</v>
      </c>
      <c r="E20" s="5" t="s">
        <v>19</v>
      </c>
      <c r="F20" s="14" t="n">
        <v>13.46</v>
      </c>
      <c r="G20" s="0" t="n">
        <v>6</v>
      </c>
      <c r="H20" s="6" t="n">
        <v>80.76</v>
      </c>
    </row>
    <row r="21" customFormat="false" ht="15" hidden="false" customHeight="false" outlineLevel="0" collapsed="false">
      <c r="A21" s="22" t="s">
        <v>116</v>
      </c>
      <c r="B21" s="22" t="s">
        <v>117</v>
      </c>
      <c r="C21" s="22" t="s">
        <v>76</v>
      </c>
      <c r="D21" s="21" t="n">
        <v>46007</v>
      </c>
      <c r="E21" s="22" t="s">
        <v>22</v>
      </c>
      <c r="F21" s="16" t="n">
        <v>13.2</v>
      </c>
      <c r="G21" s="22" t="n">
        <v>8</v>
      </c>
      <c r="H21" s="23" t="n">
        <v>105.6</v>
      </c>
      <c r="I21" s="22" t="s">
        <v>387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s">
        <v>76</v>
      </c>
      <c r="D22" s="4" t="n">
        <v>46083</v>
      </c>
      <c r="E22" s="5" t="s">
        <v>26</v>
      </c>
      <c r="F22" s="14" t="n">
        <v>13.46</v>
      </c>
      <c r="G22" s="0" t="n">
        <v>10</v>
      </c>
      <c r="H22" s="6" t="n">
        <v>134.6</v>
      </c>
    </row>
    <row r="23" customFormat="false" ht="15" hidden="false" customHeight="false" outlineLevel="0" collapsed="false">
      <c r="A23" s="0" t="s">
        <v>116</v>
      </c>
      <c r="B23" s="0" t="s">
        <v>117</v>
      </c>
      <c r="C23" s="0" t="s">
        <v>76</v>
      </c>
      <c r="D23" s="4" t="n">
        <v>46097</v>
      </c>
      <c r="E23" s="5" t="s">
        <v>27</v>
      </c>
      <c r="F23" s="14" t="n">
        <v>13.46</v>
      </c>
      <c r="G23" s="0" t="n">
        <v>2</v>
      </c>
      <c r="H23" s="6" t="n">
        <v>26.92</v>
      </c>
    </row>
    <row r="24" customFormat="false" ht="15" hidden="false" customHeight="false" outlineLevel="0" collapsed="false">
      <c r="A24" s="0" t="s">
        <v>116</v>
      </c>
      <c r="B24" s="0" t="s">
        <v>117</v>
      </c>
      <c r="C24" s="0" t="s">
        <v>76</v>
      </c>
      <c r="D24" s="4" t="n">
        <v>46125</v>
      </c>
      <c r="E24" s="5" t="s">
        <v>31</v>
      </c>
      <c r="F24" s="14" t="n">
        <v>16.84</v>
      </c>
      <c r="G24" s="0" t="n">
        <v>15</v>
      </c>
      <c r="H24" s="6" t="n">
        <v>252.6</v>
      </c>
    </row>
    <row r="25" customFormat="false" ht="15" hidden="false" customHeight="false" outlineLevel="0" collapsed="false">
      <c r="A25" s="0" t="s">
        <v>74</v>
      </c>
      <c r="B25" s="0" t="s">
        <v>75</v>
      </c>
      <c r="C25" s="0" t="s">
        <v>76</v>
      </c>
      <c r="D25" s="4" t="n">
        <v>45967</v>
      </c>
      <c r="E25" s="5" t="s">
        <v>11</v>
      </c>
      <c r="F25" s="14" t="n">
        <v>21.92</v>
      </c>
      <c r="G25" s="0" t="n">
        <v>5</v>
      </c>
      <c r="H25" s="6" t="n">
        <v>109.6</v>
      </c>
    </row>
    <row r="26" customFormat="false" ht="15" hidden="false" customHeight="false" outlineLevel="0" collapsed="false">
      <c r="A26" s="0" t="s">
        <v>74</v>
      </c>
      <c r="B26" s="0" t="s">
        <v>75</v>
      </c>
      <c r="C26" s="0" t="s">
        <v>76</v>
      </c>
      <c r="D26" s="4" t="n">
        <v>45979</v>
      </c>
      <c r="E26" s="5" t="s">
        <v>13</v>
      </c>
      <c r="F26" s="14" t="n">
        <v>21.92</v>
      </c>
      <c r="G26" s="0" t="n">
        <v>2</v>
      </c>
      <c r="H26" s="6" t="n">
        <v>43.84</v>
      </c>
    </row>
    <row r="27" customFormat="false" ht="15" hidden="false" customHeight="false" outlineLevel="0" collapsed="false">
      <c r="A27" s="22" t="s">
        <v>74</v>
      </c>
      <c r="B27" s="22" t="s">
        <v>75</v>
      </c>
      <c r="C27" s="22" t="s">
        <v>76</v>
      </c>
      <c r="D27" s="21" t="n">
        <v>46083</v>
      </c>
      <c r="E27" s="22" t="s">
        <v>26</v>
      </c>
      <c r="F27" s="16" t="n">
        <v>21.49</v>
      </c>
      <c r="G27" s="22" t="n">
        <v>6</v>
      </c>
      <c r="H27" s="23" t="n">
        <v>128.94</v>
      </c>
      <c r="I27" s="22" t="s">
        <v>387</v>
      </c>
    </row>
    <row r="28" customFormat="false" ht="15" hidden="false" customHeight="false" outlineLevel="0" collapsed="false">
      <c r="A28" s="0" t="s">
        <v>74</v>
      </c>
      <c r="B28" s="0" t="s">
        <v>75</v>
      </c>
      <c r="C28" s="0" t="s">
        <v>76</v>
      </c>
      <c r="D28" s="4" t="n">
        <v>46097</v>
      </c>
      <c r="E28" s="5" t="s">
        <v>27</v>
      </c>
      <c r="F28" s="14" t="n">
        <v>23.92</v>
      </c>
      <c r="G28" s="0" t="n">
        <v>3</v>
      </c>
      <c r="H28" s="6" t="n">
        <v>71.76</v>
      </c>
    </row>
    <row r="29" customFormat="false" ht="15" hidden="false" customHeight="false" outlineLevel="0" collapsed="false">
      <c r="A29" s="0" t="s">
        <v>74</v>
      </c>
      <c r="B29" s="0" t="s">
        <v>75</v>
      </c>
      <c r="C29" s="0" t="s">
        <v>76</v>
      </c>
      <c r="D29" s="4" t="n">
        <v>46105</v>
      </c>
      <c r="E29" s="5" t="s">
        <v>28</v>
      </c>
      <c r="F29" s="14" t="n">
        <v>23.93</v>
      </c>
      <c r="G29" s="0" t="n">
        <v>1</v>
      </c>
      <c r="H29" s="6" t="n">
        <v>23.93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s">
        <v>76</v>
      </c>
      <c r="D30" s="4" t="n">
        <v>46125</v>
      </c>
      <c r="E30" s="5" t="s">
        <v>31</v>
      </c>
      <c r="F30" s="14" t="n">
        <v>26.8</v>
      </c>
      <c r="G30" s="0" t="n">
        <v>6</v>
      </c>
      <c r="H30" s="6" t="n">
        <v>160.8</v>
      </c>
    </row>
    <row r="31" customFormat="false" ht="15" hidden="false" customHeight="false" outlineLevel="0" collapsed="false">
      <c r="A31" s="22" t="s">
        <v>74</v>
      </c>
      <c r="B31" s="22" t="s">
        <v>75</v>
      </c>
      <c r="C31" s="22" t="s">
        <v>76</v>
      </c>
      <c r="D31" s="21" t="n">
        <v>46147</v>
      </c>
      <c r="E31" s="22" t="s">
        <v>32</v>
      </c>
      <c r="F31" s="16" t="n">
        <v>22.33</v>
      </c>
      <c r="G31" s="22" t="n">
        <v>3</v>
      </c>
      <c r="H31" s="23" t="n">
        <v>66.99</v>
      </c>
      <c r="I31" s="22" t="s">
        <v>387</v>
      </c>
    </row>
    <row r="32" customFormat="false" ht="15" hidden="false" customHeight="false" outlineLevel="0" collapsed="false">
      <c r="A32" s="0" t="s">
        <v>82</v>
      </c>
      <c r="B32" s="0" t="s">
        <v>83</v>
      </c>
      <c r="C32" s="0" t="s">
        <v>76</v>
      </c>
      <c r="D32" s="4" t="n">
        <v>45967</v>
      </c>
      <c r="E32" s="5" t="s">
        <v>11</v>
      </c>
      <c r="F32" s="14" t="n">
        <v>21.92</v>
      </c>
      <c r="G32" s="0" t="n">
        <v>5</v>
      </c>
      <c r="H32" s="6" t="n">
        <v>109.6</v>
      </c>
    </row>
    <row r="33" customFormat="false" ht="15" hidden="false" customHeight="false" outlineLevel="0" collapsed="false">
      <c r="A33" s="0" t="s">
        <v>82</v>
      </c>
      <c r="B33" s="0" t="s">
        <v>83</v>
      </c>
      <c r="C33" s="0" t="s">
        <v>76</v>
      </c>
      <c r="D33" s="4" t="n">
        <v>45979</v>
      </c>
      <c r="E33" s="5" t="s">
        <v>13</v>
      </c>
      <c r="F33" s="14" t="n">
        <v>21.92</v>
      </c>
      <c r="G33" s="0" t="n">
        <v>1</v>
      </c>
      <c r="H33" s="6" t="n">
        <v>21.92</v>
      </c>
    </row>
    <row r="34" customFormat="false" ht="15" hidden="false" customHeight="false" outlineLevel="0" collapsed="false">
      <c r="A34" s="22" t="s">
        <v>82</v>
      </c>
      <c r="B34" s="22" t="s">
        <v>83</v>
      </c>
      <c r="C34" s="22" t="s">
        <v>76</v>
      </c>
      <c r="D34" s="21" t="n">
        <v>46007</v>
      </c>
      <c r="E34" s="22" t="s">
        <v>22</v>
      </c>
      <c r="F34" s="16" t="n">
        <v>18.27</v>
      </c>
      <c r="G34" s="22" t="n">
        <v>5</v>
      </c>
      <c r="H34" s="23" t="n">
        <v>91.35</v>
      </c>
      <c r="I34" s="22" t="s">
        <v>387</v>
      </c>
    </row>
    <row r="35" customFormat="false" ht="15" hidden="false" customHeight="false" outlineLevel="0" collapsed="false">
      <c r="A35" s="0" t="s">
        <v>82</v>
      </c>
      <c r="B35" s="0" t="s">
        <v>83</v>
      </c>
      <c r="C35" s="0" t="s">
        <v>76</v>
      </c>
      <c r="D35" s="4" t="n">
        <v>46097</v>
      </c>
      <c r="E35" s="5" t="s">
        <v>27</v>
      </c>
      <c r="F35" s="14" t="n">
        <v>24.15</v>
      </c>
      <c r="G35" s="0" t="n">
        <v>5</v>
      </c>
      <c r="H35" s="6" t="n">
        <v>120.75</v>
      </c>
    </row>
    <row r="36" customFormat="false" ht="15" hidden="false" customHeight="false" outlineLevel="0" collapsed="false">
      <c r="A36" s="0" t="s">
        <v>82</v>
      </c>
      <c r="B36" s="0" t="s">
        <v>83</v>
      </c>
      <c r="C36" s="0" t="s">
        <v>76</v>
      </c>
      <c r="D36" s="4" t="n">
        <v>46125</v>
      </c>
      <c r="E36" s="5" t="s">
        <v>31</v>
      </c>
      <c r="F36" s="14" t="n">
        <v>26.78</v>
      </c>
      <c r="G36" s="0" t="n">
        <v>6</v>
      </c>
      <c r="H36" s="6" t="n">
        <v>160.68</v>
      </c>
    </row>
    <row r="37" customFormat="false" ht="15" hidden="false" customHeight="false" outlineLevel="0" collapsed="false">
      <c r="A37" s="22" t="s">
        <v>82</v>
      </c>
      <c r="B37" s="22" t="s">
        <v>83</v>
      </c>
      <c r="C37" s="22" t="s">
        <v>76</v>
      </c>
      <c r="D37" s="21" t="n">
        <v>46147</v>
      </c>
      <c r="E37" s="22" t="s">
        <v>32</v>
      </c>
      <c r="F37" s="16" t="n">
        <v>22.31</v>
      </c>
      <c r="G37" s="22" t="n">
        <v>3</v>
      </c>
      <c r="H37" s="23" t="n">
        <v>66.93</v>
      </c>
      <c r="I37" s="22" t="s">
        <v>387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0" t="s">
        <v>76</v>
      </c>
      <c r="D38" s="4" t="n">
        <v>45967</v>
      </c>
      <c r="E38" s="5" t="s">
        <v>11</v>
      </c>
      <c r="F38" s="14" t="n">
        <v>3.58</v>
      </c>
      <c r="G38" s="0" t="n">
        <v>2</v>
      </c>
      <c r="H38" s="6" t="n">
        <v>7.16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s">
        <v>76</v>
      </c>
      <c r="D39" s="4" t="n">
        <v>46007</v>
      </c>
      <c r="E39" s="5" t="s">
        <v>22</v>
      </c>
      <c r="F39" s="14" t="n">
        <v>3.58</v>
      </c>
      <c r="G39" s="0" t="n">
        <v>4</v>
      </c>
      <c r="H39" s="6" t="n">
        <v>14.32</v>
      </c>
    </row>
    <row r="40" customFormat="false" ht="15" hidden="false" customHeight="false" outlineLevel="0" collapsed="false">
      <c r="A40" s="0" t="s">
        <v>156</v>
      </c>
      <c r="B40" s="0" t="s">
        <v>157</v>
      </c>
      <c r="C40" s="0" t="s">
        <v>76</v>
      </c>
      <c r="D40" s="4" t="n">
        <v>46083</v>
      </c>
      <c r="E40" s="5" t="s">
        <v>26</v>
      </c>
      <c r="F40" s="14" t="n">
        <v>3.58</v>
      </c>
      <c r="G40" s="0" t="n">
        <v>3</v>
      </c>
      <c r="H40" s="6" t="n">
        <v>10.74</v>
      </c>
    </row>
    <row r="41" customFormat="false" ht="15" hidden="false" customHeight="false" outlineLevel="0" collapsed="false">
      <c r="A41" s="0" t="s">
        <v>156</v>
      </c>
      <c r="B41" s="0" t="s">
        <v>157</v>
      </c>
      <c r="C41" s="0" t="s">
        <v>76</v>
      </c>
      <c r="D41" s="4" t="n">
        <v>46097</v>
      </c>
      <c r="E41" s="5" t="s">
        <v>27</v>
      </c>
      <c r="F41" s="14" t="n">
        <v>3.58</v>
      </c>
      <c r="G41" s="0" t="n">
        <v>3</v>
      </c>
      <c r="H41" s="6" t="n">
        <v>10.74</v>
      </c>
    </row>
    <row r="42" customFormat="false" ht="15" hidden="false" customHeight="false" outlineLevel="0" collapsed="false">
      <c r="A42" s="0" t="s">
        <v>156</v>
      </c>
      <c r="B42" s="0" t="s">
        <v>157</v>
      </c>
      <c r="C42" s="0" t="s">
        <v>76</v>
      </c>
      <c r="D42" s="4" t="n">
        <v>46125</v>
      </c>
      <c r="E42" s="5" t="s">
        <v>31</v>
      </c>
      <c r="F42" s="14" t="n">
        <v>4.55</v>
      </c>
      <c r="G42" s="0" t="n">
        <v>4</v>
      </c>
      <c r="H42" s="6" t="n">
        <v>18.2</v>
      </c>
    </row>
    <row r="43" customFormat="false" ht="15" hidden="false" customHeight="false" outlineLevel="0" collapsed="false">
      <c r="A43" s="0" t="s">
        <v>158</v>
      </c>
      <c r="B43" s="0" t="s">
        <v>159</v>
      </c>
      <c r="C43" s="0" t="s">
        <v>160</v>
      </c>
      <c r="D43" s="4" t="n">
        <v>46125</v>
      </c>
      <c r="E43" s="5" t="s">
        <v>31</v>
      </c>
      <c r="F43" s="14" t="n">
        <v>22.14</v>
      </c>
      <c r="G43" s="0" t="n">
        <v>3</v>
      </c>
      <c r="H43" s="6" t="n">
        <v>66.42</v>
      </c>
    </row>
    <row r="44" customFormat="false" ht="15" hidden="false" customHeight="false" outlineLevel="0" collapsed="false">
      <c r="A44" s="22" t="s">
        <v>158</v>
      </c>
      <c r="B44" s="22" t="s">
        <v>159</v>
      </c>
      <c r="C44" s="22" t="s">
        <v>160</v>
      </c>
      <c r="D44" s="21" t="n">
        <v>46147</v>
      </c>
      <c r="E44" s="22" t="s">
        <v>32</v>
      </c>
      <c r="F44" s="16" t="n">
        <v>18.45</v>
      </c>
      <c r="G44" s="22" t="n">
        <v>3</v>
      </c>
      <c r="H44" s="23" t="n">
        <v>55.35</v>
      </c>
      <c r="I44" s="22" t="s">
        <v>387</v>
      </c>
    </row>
    <row r="45" customFormat="false" ht="15" hidden="false" customHeight="false" outlineLevel="0" collapsed="false">
      <c r="A45" s="0" t="s">
        <v>161</v>
      </c>
      <c r="B45" s="0" t="s">
        <v>162</v>
      </c>
      <c r="C45" s="0" t="s">
        <v>76</v>
      </c>
      <c r="D45" s="4" t="n">
        <v>45967</v>
      </c>
      <c r="E45" s="5" t="s">
        <v>11</v>
      </c>
      <c r="F45" s="14" t="n">
        <v>22.9</v>
      </c>
      <c r="G45" s="0" t="n">
        <v>2</v>
      </c>
      <c r="H45" s="6" t="n">
        <v>45.8</v>
      </c>
    </row>
    <row r="46" customFormat="false" ht="15" hidden="false" customHeight="false" outlineLevel="0" collapsed="false">
      <c r="A46" s="0" t="s">
        <v>161</v>
      </c>
      <c r="B46" s="0" t="s">
        <v>162</v>
      </c>
      <c r="C46" s="0" t="s">
        <v>76</v>
      </c>
      <c r="D46" s="4" t="n">
        <v>46083</v>
      </c>
      <c r="E46" s="5" t="s">
        <v>26</v>
      </c>
      <c r="F46" s="14" t="n">
        <v>22.9</v>
      </c>
      <c r="G46" s="0" t="n">
        <v>2</v>
      </c>
      <c r="H46" s="6" t="n">
        <v>45.8</v>
      </c>
    </row>
    <row r="47" customFormat="false" ht="15" hidden="false" customHeight="false" outlineLevel="0" collapsed="false">
      <c r="A47" s="0" t="s">
        <v>161</v>
      </c>
      <c r="B47" s="0" t="s">
        <v>162</v>
      </c>
      <c r="C47" s="0" t="s">
        <v>76</v>
      </c>
      <c r="D47" s="4" t="n">
        <v>46125</v>
      </c>
      <c r="E47" s="5" t="s">
        <v>31</v>
      </c>
      <c r="F47" s="14" t="n">
        <v>26.42</v>
      </c>
      <c r="G47" s="0" t="n">
        <v>2</v>
      </c>
      <c r="H47" s="6" t="n">
        <v>52.84</v>
      </c>
    </row>
    <row r="48" customFormat="false" ht="15" hidden="false" customHeight="false" outlineLevel="0" collapsed="false">
      <c r="A48" s="0" t="s">
        <v>118</v>
      </c>
      <c r="B48" s="0" t="s">
        <v>119</v>
      </c>
      <c r="C48" s="0" t="s">
        <v>76</v>
      </c>
      <c r="D48" s="4" t="n">
        <v>45967</v>
      </c>
      <c r="E48" s="5" t="s">
        <v>11</v>
      </c>
      <c r="F48" s="14" t="n">
        <v>14.9</v>
      </c>
      <c r="G48" s="0" t="n">
        <v>1</v>
      </c>
      <c r="H48" s="6" t="n">
        <v>14.9</v>
      </c>
    </row>
    <row r="49" customFormat="false" ht="15" hidden="false" customHeight="false" outlineLevel="0" collapsed="false">
      <c r="A49" s="0" t="s">
        <v>118</v>
      </c>
      <c r="B49" s="0" t="s">
        <v>119</v>
      </c>
      <c r="C49" s="0" t="s">
        <v>76</v>
      </c>
      <c r="D49" s="4" t="n">
        <v>45979</v>
      </c>
      <c r="E49" s="5" t="s">
        <v>13</v>
      </c>
      <c r="F49" s="14" t="n">
        <v>14.9</v>
      </c>
      <c r="G49" s="0" t="n">
        <v>1</v>
      </c>
      <c r="H49" s="6" t="n">
        <v>14.9</v>
      </c>
    </row>
    <row r="50" customFormat="false" ht="15" hidden="false" customHeight="false" outlineLevel="0" collapsed="false">
      <c r="A50" s="0" t="s">
        <v>118</v>
      </c>
      <c r="B50" s="0" t="s">
        <v>119</v>
      </c>
      <c r="C50" s="0" t="s">
        <v>76</v>
      </c>
      <c r="D50" s="4" t="n">
        <v>46083</v>
      </c>
      <c r="E50" s="5" t="s">
        <v>26</v>
      </c>
      <c r="F50" s="14" t="n">
        <v>14.9</v>
      </c>
      <c r="G50" s="0" t="n">
        <v>2</v>
      </c>
      <c r="H50" s="6" t="n">
        <v>29.8</v>
      </c>
    </row>
    <row r="51" customFormat="false" ht="15" hidden="false" customHeight="false" outlineLevel="0" collapsed="false">
      <c r="A51" s="0" t="s">
        <v>118</v>
      </c>
      <c r="B51" s="0" t="s">
        <v>119</v>
      </c>
      <c r="C51" s="0" t="s">
        <v>76</v>
      </c>
      <c r="D51" s="4" t="n">
        <v>46097</v>
      </c>
      <c r="E51" s="5" t="s">
        <v>27</v>
      </c>
      <c r="F51" s="14" t="n">
        <v>15.35</v>
      </c>
      <c r="G51" s="0" t="n">
        <v>1</v>
      </c>
      <c r="H51" s="6" t="n">
        <v>15.35</v>
      </c>
    </row>
    <row r="52" customFormat="false" ht="15" hidden="false" customHeight="false" outlineLevel="0" collapsed="false">
      <c r="A52" s="0" t="s">
        <v>118</v>
      </c>
      <c r="B52" s="0" t="s">
        <v>119</v>
      </c>
      <c r="C52" s="0" t="s">
        <v>76</v>
      </c>
      <c r="D52" s="4" t="n">
        <v>46125</v>
      </c>
      <c r="E52" s="5" t="s">
        <v>31</v>
      </c>
      <c r="F52" s="14" t="n">
        <v>17.71</v>
      </c>
      <c r="G52" s="0" t="n">
        <v>2</v>
      </c>
      <c r="H52" s="6" t="n">
        <v>35.42</v>
      </c>
    </row>
    <row r="53" customFormat="false" ht="15" hidden="false" customHeight="false" outlineLevel="0" collapsed="false">
      <c r="A53" s="0" t="s">
        <v>92</v>
      </c>
      <c r="B53" s="0" t="s">
        <v>93</v>
      </c>
      <c r="C53" s="0" t="s">
        <v>76</v>
      </c>
      <c r="D53" s="4" t="n">
        <v>45967</v>
      </c>
      <c r="E53" s="5" t="s">
        <v>11</v>
      </c>
      <c r="F53" s="14" t="n">
        <v>14.17</v>
      </c>
      <c r="G53" s="0" t="n">
        <v>1</v>
      </c>
      <c r="H53" s="6" t="n">
        <v>14.17</v>
      </c>
    </row>
    <row r="54" customFormat="false" ht="15" hidden="false" customHeight="false" outlineLevel="0" collapsed="false">
      <c r="A54" s="22" t="s">
        <v>92</v>
      </c>
      <c r="B54" s="22" t="s">
        <v>93</v>
      </c>
      <c r="C54" s="22" t="s">
        <v>76</v>
      </c>
      <c r="D54" s="21" t="n">
        <v>45979</v>
      </c>
      <c r="E54" s="22" t="s">
        <v>13</v>
      </c>
      <c r="F54" s="16" t="n">
        <v>11.76</v>
      </c>
      <c r="G54" s="22" t="n">
        <v>1</v>
      </c>
      <c r="H54" s="23" t="n">
        <v>11.76</v>
      </c>
      <c r="I54" s="22" t="s">
        <v>387</v>
      </c>
    </row>
    <row r="55" customFormat="false" ht="15" hidden="false" customHeight="false" outlineLevel="0" collapsed="false">
      <c r="A55" s="0" t="s">
        <v>92</v>
      </c>
      <c r="B55" s="0" t="s">
        <v>93</v>
      </c>
      <c r="C55" s="0" t="s">
        <v>76</v>
      </c>
      <c r="D55" s="4" t="n">
        <v>46083</v>
      </c>
      <c r="E55" s="5" t="s">
        <v>26</v>
      </c>
      <c r="F55" s="14" t="n">
        <v>14.17</v>
      </c>
      <c r="G55" s="0" t="n">
        <v>1</v>
      </c>
      <c r="H55" s="6" t="n">
        <v>14.17</v>
      </c>
    </row>
    <row r="56" customFormat="false" ht="15" hidden="false" customHeight="false" outlineLevel="0" collapsed="false">
      <c r="A56" s="0" t="s">
        <v>92</v>
      </c>
      <c r="B56" s="0" t="s">
        <v>93</v>
      </c>
      <c r="C56" s="0" t="s">
        <v>76</v>
      </c>
      <c r="D56" s="4" t="n">
        <v>46097</v>
      </c>
      <c r="E56" s="5" t="s">
        <v>27</v>
      </c>
      <c r="F56" s="14" t="n">
        <v>14.31</v>
      </c>
      <c r="G56" s="0" t="n">
        <v>1</v>
      </c>
      <c r="H56" s="6" t="n">
        <v>14.31</v>
      </c>
    </row>
    <row r="57" customFormat="false" ht="15" hidden="false" customHeight="false" outlineLevel="0" collapsed="false">
      <c r="A57" s="0" t="s">
        <v>92</v>
      </c>
      <c r="B57" s="0" t="s">
        <v>93</v>
      </c>
      <c r="C57" s="0" t="s">
        <v>76</v>
      </c>
      <c r="D57" s="4" t="n">
        <v>46125</v>
      </c>
      <c r="E57" s="5" t="s">
        <v>31</v>
      </c>
      <c r="F57" s="14" t="n">
        <v>16.51</v>
      </c>
      <c r="G57" s="0" t="n">
        <v>1</v>
      </c>
      <c r="H57" s="6" t="n">
        <v>16.51</v>
      </c>
    </row>
    <row r="58" customFormat="false" ht="15" hidden="false" customHeight="false" outlineLevel="0" collapsed="false">
      <c r="A58" s="0" t="s">
        <v>120</v>
      </c>
      <c r="B58" s="0" t="s">
        <v>121</v>
      </c>
      <c r="C58" s="0" t="s">
        <v>76</v>
      </c>
      <c r="D58" s="4" t="n">
        <v>45967</v>
      </c>
      <c r="E58" s="5" t="s">
        <v>11</v>
      </c>
      <c r="F58" s="14" t="n">
        <v>20.39</v>
      </c>
      <c r="G58" s="0" t="n">
        <v>1</v>
      </c>
      <c r="H58" s="6" t="n">
        <v>20.39</v>
      </c>
    </row>
    <row r="59" customFormat="false" ht="15" hidden="false" customHeight="false" outlineLevel="0" collapsed="false">
      <c r="A59" s="0" t="s">
        <v>120</v>
      </c>
      <c r="B59" s="0" t="s">
        <v>121</v>
      </c>
      <c r="C59" s="0" t="s">
        <v>76</v>
      </c>
      <c r="D59" s="4" t="n">
        <v>46007</v>
      </c>
      <c r="E59" s="5" t="s">
        <v>22</v>
      </c>
      <c r="F59" s="14" t="n">
        <v>20.39</v>
      </c>
      <c r="G59" s="0" t="n">
        <v>2</v>
      </c>
      <c r="H59" s="6" t="n">
        <v>40.78</v>
      </c>
    </row>
    <row r="60" customFormat="false" ht="15" hidden="false" customHeight="false" outlineLevel="0" collapsed="false">
      <c r="A60" s="0" t="s">
        <v>120</v>
      </c>
      <c r="B60" s="0" t="s">
        <v>121</v>
      </c>
      <c r="C60" s="0" t="s">
        <v>76</v>
      </c>
      <c r="D60" s="4" t="n">
        <v>46083</v>
      </c>
      <c r="E60" s="5" t="s">
        <v>26</v>
      </c>
      <c r="F60" s="14" t="n">
        <v>20.39</v>
      </c>
      <c r="G60" s="0" t="n">
        <v>2</v>
      </c>
      <c r="H60" s="6" t="n">
        <v>40.78</v>
      </c>
    </row>
    <row r="61" customFormat="false" ht="15" hidden="false" customHeight="false" outlineLevel="0" collapsed="false">
      <c r="A61" s="0" t="s">
        <v>120</v>
      </c>
      <c r="B61" s="0" t="s">
        <v>121</v>
      </c>
      <c r="C61" s="0" t="s">
        <v>76</v>
      </c>
      <c r="D61" s="4" t="n">
        <v>46125</v>
      </c>
      <c r="E61" s="5" t="s">
        <v>31</v>
      </c>
      <c r="F61" s="14" t="n">
        <v>24.52</v>
      </c>
      <c r="G61" s="0" t="n">
        <v>3</v>
      </c>
      <c r="H61" s="6" t="n">
        <v>73.56</v>
      </c>
    </row>
    <row r="62" customFormat="false" ht="15" hidden="false" customHeight="false" outlineLevel="0" collapsed="false">
      <c r="A62" s="22" t="s">
        <v>120</v>
      </c>
      <c r="B62" s="22" t="s">
        <v>121</v>
      </c>
      <c r="C62" s="22" t="s">
        <v>76</v>
      </c>
      <c r="D62" s="21" t="n">
        <v>46147</v>
      </c>
      <c r="E62" s="22" t="s">
        <v>32</v>
      </c>
      <c r="F62" s="16" t="n">
        <v>22.84</v>
      </c>
      <c r="G62" s="22" t="n">
        <v>1</v>
      </c>
      <c r="H62" s="23" t="n">
        <v>22.84</v>
      </c>
      <c r="I62" s="22" t="s">
        <v>387</v>
      </c>
    </row>
    <row r="63" customFormat="false" ht="15" hidden="false" customHeight="false" outlineLevel="0" collapsed="false">
      <c r="A63" s="0" t="s">
        <v>163</v>
      </c>
      <c r="B63" s="0" t="s">
        <v>164</v>
      </c>
      <c r="C63" s="0" t="s">
        <v>76</v>
      </c>
      <c r="D63" s="4" t="n">
        <v>45967</v>
      </c>
      <c r="E63" s="5" t="s">
        <v>11</v>
      </c>
      <c r="F63" s="14" t="n">
        <v>21.22</v>
      </c>
      <c r="G63" s="0" t="n">
        <v>1</v>
      </c>
      <c r="H63" s="6" t="n">
        <v>21.22</v>
      </c>
    </row>
    <row r="64" customFormat="false" ht="15" hidden="false" customHeight="false" outlineLevel="0" collapsed="false">
      <c r="A64" s="0" t="s">
        <v>163</v>
      </c>
      <c r="B64" s="0" t="s">
        <v>164</v>
      </c>
      <c r="C64" s="0" t="s">
        <v>76</v>
      </c>
      <c r="D64" s="4" t="n">
        <v>46000</v>
      </c>
      <c r="E64" s="5" t="s">
        <v>19</v>
      </c>
      <c r="F64" s="14" t="n">
        <v>21.22</v>
      </c>
      <c r="G64" s="0" t="n">
        <v>1</v>
      </c>
      <c r="H64" s="6" t="n">
        <v>21.22</v>
      </c>
    </row>
    <row r="65" customFormat="false" ht="15" hidden="false" customHeight="false" outlineLevel="0" collapsed="false">
      <c r="A65" s="0" t="s">
        <v>163</v>
      </c>
      <c r="B65" s="0" t="s">
        <v>164</v>
      </c>
      <c r="C65" s="0" t="s">
        <v>76</v>
      </c>
      <c r="D65" s="4" t="n">
        <v>46007</v>
      </c>
      <c r="E65" s="5" t="s">
        <v>22</v>
      </c>
      <c r="F65" s="14" t="n">
        <v>21.22</v>
      </c>
      <c r="G65" s="0" t="n">
        <v>2</v>
      </c>
      <c r="H65" s="6" t="n">
        <v>42.44</v>
      </c>
    </row>
    <row r="66" customFormat="false" ht="15" hidden="false" customHeight="false" outlineLevel="0" collapsed="false">
      <c r="A66" s="0" t="s">
        <v>163</v>
      </c>
      <c r="B66" s="0" t="s">
        <v>164</v>
      </c>
      <c r="C66" s="0" t="s">
        <v>76</v>
      </c>
      <c r="D66" s="4" t="n">
        <v>46125</v>
      </c>
      <c r="E66" s="5" t="s">
        <v>31</v>
      </c>
      <c r="F66" s="14" t="n">
        <v>24</v>
      </c>
      <c r="G66" s="0" t="n">
        <v>1</v>
      </c>
      <c r="H66" s="6" t="n">
        <v>24</v>
      </c>
    </row>
    <row r="67" customFormat="false" ht="15" hidden="false" customHeight="false" outlineLevel="0" collapsed="false">
      <c r="A67" s="22" t="s">
        <v>94</v>
      </c>
      <c r="B67" s="22" t="s">
        <v>95</v>
      </c>
      <c r="C67" s="22" t="s">
        <v>76</v>
      </c>
      <c r="D67" s="21" t="n">
        <v>45967</v>
      </c>
      <c r="E67" s="22" t="s">
        <v>11</v>
      </c>
      <c r="F67" s="16" t="n">
        <v>15.72</v>
      </c>
      <c r="G67" s="22" t="n">
        <v>2</v>
      </c>
      <c r="H67" s="23" t="n">
        <v>31.44</v>
      </c>
      <c r="I67" s="22" t="s">
        <v>387</v>
      </c>
    </row>
    <row r="68" customFormat="false" ht="15" hidden="false" customHeight="false" outlineLevel="0" collapsed="false">
      <c r="A68" s="22" t="s">
        <v>94</v>
      </c>
      <c r="B68" s="22" t="s">
        <v>95</v>
      </c>
      <c r="C68" s="22" t="s">
        <v>76</v>
      </c>
      <c r="D68" s="21" t="n">
        <v>45979</v>
      </c>
      <c r="E68" s="22" t="s">
        <v>13</v>
      </c>
      <c r="F68" s="16" t="n">
        <v>15.72</v>
      </c>
      <c r="G68" s="22" t="n">
        <v>1</v>
      </c>
      <c r="H68" s="23" t="n">
        <v>15.72</v>
      </c>
      <c r="I68" s="22" t="s">
        <v>387</v>
      </c>
    </row>
    <row r="69" customFormat="false" ht="15" hidden="false" customHeight="false" outlineLevel="0" collapsed="false">
      <c r="A69" s="0" t="s">
        <v>94</v>
      </c>
      <c r="B69" s="0" t="s">
        <v>95</v>
      </c>
      <c r="C69" s="0" t="s">
        <v>76</v>
      </c>
      <c r="D69" s="4" t="n">
        <v>46007</v>
      </c>
      <c r="E69" s="5" t="s">
        <v>22</v>
      </c>
      <c r="F69" s="14" t="n">
        <v>18.89</v>
      </c>
      <c r="G69" s="0" t="n">
        <v>2</v>
      </c>
      <c r="H69" s="6" t="n">
        <v>37.78</v>
      </c>
    </row>
    <row r="70" customFormat="false" ht="15" hidden="false" customHeight="false" outlineLevel="0" collapsed="false">
      <c r="A70" s="0" t="s">
        <v>94</v>
      </c>
      <c r="B70" s="0" t="s">
        <v>95</v>
      </c>
      <c r="C70" s="0" t="s">
        <v>76</v>
      </c>
      <c r="D70" s="4" t="n">
        <v>46083</v>
      </c>
      <c r="E70" s="5" t="s">
        <v>26</v>
      </c>
      <c r="F70" s="14" t="n">
        <v>18.89</v>
      </c>
      <c r="G70" s="0" t="n">
        <v>3</v>
      </c>
      <c r="H70" s="6" t="n">
        <v>56.67</v>
      </c>
    </row>
    <row r="71" customFormat="false" ht="15" hidden="false" customHeight="false" outlineLevel="0" collapsed="false">
      <c r="A71" s="0" t="s">
        <v>94</v>
      </c>
      <c r="B71" s="0" t="s">
        <v>95</v>
      </c>
      <c r="C71" s="0" t="s">
        <v>76</v>
      </c>
      <c r="D71" s="4" t="n">
        <v>46097</v>
      </c>
      <c r="E71" s="5" t="s">
        <v>27</v>
      </c>
      <c r="F71" s="14" t="n">
        <v>19.08</v>
      </c>
      <c r="G71" s="0" t="n">
        <v>1</v>
      </c>
      <c r="H71" s="6" t="n">
        <v>19.08</v>
      </c>
    </row>
    <row r="72" customFormat="false" ht="15" hidden="false" customHeight="false" outlineLevel="0" collapsed="false">
      <c r="A72" s="0" t="s">
        <v>94</v>
      </c>
      <c r="B72" s="0" t="s">
        <v>95</v>
      </c>
      <c r="C72" s="0" t="s">
        <v>76</v>
      </c>
      <c r="D72" s="4" t="n">
        <v>46125</v>
      </c>
      <c r="E72" s="5" t="s">
        <v>31</v>
      </c>
      <c r="F72" s="14" t="n">
        <v>21.54</v>
      </c>
      <c r="G72" s="0" t="n">
        <v>2</v>
      </c>
      <c r="H72" s="6" t="n">
        <v>43.08</v>
      </c>
    </row>
    <row r="73" customFormat="false" ht="15" hidden="false" customHeight="false" outlineLevel="0" collapsed="false">
      <c r="A73" s="0" t="s">
        <v>165</v>
      </c>
      <c r="B73" s="0" t="s">
        <v>166</v>
      </c>
      <c r="C73" s="0" t="s">
        <v>160</v>
      </c>
      <c r="D73" s="4" t="n">
        <v>46007</v>
      </c>
      <c r="E73" s="5" t="s">
        <v>22</v>
      </c>
      <c r="F73" s="14" t="n">
        <v>7.26</v>
      </c>
      <c r="G73" s="0" t="n">
        <v>4</v>
      </c>
      <c r="H73" s="6" t="n">
        <v>29.04</v>
      </c>
    </row>
    <row r="74" customFormat="false" ht="15" hidden="false" customHeight="false" outlineLevel="0" collapsed="false">
      <c r="A74" s="0" t="s">
        <v>165</v>
      </c>
      <c r="B74" s="0" t="s">
        <v>166</v>
      </c>
      <c r="C74" s="0" t="s">
        <v>160</v>
      </c>
      <c r="D74" s="4" t="n">
        <v>46147</v>
      </c>
      <c r="E74" s="5" t="s">
        <v>32</v>
      </c>
      <c r="F74" s="14" t="n">
        <v>7.69</v>
      </c>
      <c r="G74" s="0" t="n">
        <v>2</v>
      </c>
      <c r="H74" s="6" t="n">
        <v>15.38</v>
      </c>
    </row>
    <row r="75" customFormat="false" ht="15" hidden="false" customHeight="false" outlineLevel="0" collapsed="false">
      <c r="A75" s="0" t="s">
        <v>206</v>
      </c>
      <c r="B75" s="0" t="s">
        <v>207</v>
      </c>
      <c r="C75" s="0" t="s">
        <v>169</v>
      </c>
      <c r="D75" s="4" t="n">
        <v>45967</v>
      </c>
      <c r="E75" s="5" t="s">
        <v>11</v>
      </c>
      <c r="F75" s="14" t="n">
        <v>6.69</v>
      </c>
      <c r="G75" s="0" t="n">
        <v>1</v>
      </c>
      <c r="H75" s="6" t="n">
        <v>6.69</v>
      </c>
    </row>
    <row r="76" customFormat="false" ht="15" hidden="false" customHeight="false" outlineLevel="0" collapsed="false">
      <c r="A76" s="0" t="s">
        <v>206</v>
      </c>
      <c r="B76" s="0" t="s">
        <v>207</v>
      </c>
      <c r="C76" s="0" t="s">
        <v>169</v>
      </c>
      <c r="D76" s="4" t="n">
        <v>45979</v>
      </c>
      <c r="E76" s="5" t="s">
        <v>13</v>
      </c>
      <c r="F76" s="14" t="n">
        <v>6.69</v>
      </c>
      <c r="G76" s="0" t="n">
        <v>1</v>
      </c>
      <c r="H76" s="6" t="n">
        <v>6.69</v>
      </c>
    </row>
    <row r="77" customFormat="false" ht="15" hidden="false" customHeight="false" outlineLevel="0" collapsed="false">
      <c r="A77" s="0" t="s">
        <v>206</v>
      </c>
      <c r="B77" s="0" t="s">
        <v>207</v>
      </c>
      <c r="C77" s="0" t="s">
        <v>169</v>
      </c>
      <c r="D77" s="4" t="n">
        <v>45986</v>
      </c>
      <c r="E77" s="5" t="s">
        <v>15</v>
      </c>
      <c r="F77" s="14" t="n">
        <v>6.69</v>
      </c>
      <c r="G77" s="0" t="n">
        <v>1</v>
      </c>
      <c r="H77" s="6" t="n">
        <v>6.69</v>
      </c>
    </row>
    <row r="78" customFormat="false" ht="15" hidden="false" customHeight="false" outlineLevel="0" collapsed="false">
      <c r="A78" s="0" t="s">
        <v>206</v>
      </c>
      <c r="B78" s="0" t="s">
        <v>207</v>
      </c>
      <c r="C78" s="0" t="s">
        <v>169</v>
      </c>
      <c r="D78" s="4" t="n">
        <v>46007</v>
      </c>
      <c r="E78" s="5" t="s">
        <v>22</v>
      </c>
      <c r="F78" s="14" t="n">
        <v>6.69</v>
      </c>
      <c r="G78" s="0" t="n">
        <v>1</v>
      </c>
      <c r="H78" s="6" t="n">
        <v>6.69</v>
      </c>
    </row>
    <row r="79" customFormat="false" ht="15" hidden="false" customHeight="false" outlineLevel="0" collapsed="false">
      <c r="A79" s="0" t="s">
        <v>167</v>
      </c>
      <c r="B79" s="0" t="s">
        <v>168</v>
      </c>
      <c r="C79" s="0" t="s">
        <v>169</v>
      </c>
      <c r="D79" s="4" t="n">
        <v>45967</v>
      </c>
      <c r="E79" s="5" t="s">
        <v>11</v>
      </c>
      <c r="F79" s="14" t="n">
        <v>8.55</v>
      </c>
      <c r="G79" s="0" t="n">
        <v>1</v>
      </c>
      <c r="H79" s="6" t="n">
        <v>8.55</v>
      </c>
    </row>
    <row r="80" customFormat="false" ht="15" hidden="false" customHeight="false" outlineLevel="0" collapsed="false">
      <c r="A80" s="0" t="s">
        <v>167</v>
      </c>
      <c r="B80" s="0" t="s">
        <v>168</v>
      </c>
      <c r="C80" s="0" t="s">
        <v>169</v>
      </c>
      <c r="D80" s="4" t="n">
        <v>45979</v>
      </c>
      <c r="E80" s="5" t="s">
        <v>13</v>
      </c>
      <c r="F80" s="14" t="n">
        <v>8.55</v>
      </c>
      <c r="G80" s="0" t="n">
        <v>1</v>
      </c>
      <c r="H80" s="6" t="n">
        <v>8.55</v>
      </c>
    </row>
    <row r="81" customFormat="false" ht="15" hidden="false" customHeight="false" outlineLevel="0" collapsed="false">
      <c r="A81" s="0" t="s">
        <v>167</v>
      </c>
      <c r="B81" s="0" t="s">
        <v>168</v>
      </c>
      <c r="C81" s="0" t="s">
        <v>169</v>
      </c>
      <c r="D81" s="4" t="n">
        <v>45986</v>
      </c>
      <c r="E81" s="5" t="s">
        <v>15</v>
      </c>
      <c r="F81" s="14" t="n">
        <v>8.55</v>
      </c>
      <c r="G81" s="0" t="n">
        <v>1</v>
      </c>
      <c r="H81" s="6" t="n">
        <v>8.55</v>
      </c>
    </row>
    <row r="82" customFormat="false" ht="15" hidden="false" customHeight="false" outlineLevel="0" collapsed="false">
      <c r="A82" s="22" t="s">
        <v>167</v>
      </c>
      <c r="B82" s="22" t="s">
        <v>168</v>
      </c>
      <c r="C82" s="22" t="s">
        <v>169</v>
      </c>
      <c r="D82" s="21" t="n">
        <v>46007</v>
      </c>
      <c r="E82" s="22" t="s">
        <v>22</v>
      </c>
      <c r="F82" s="16" t="n">
        <v>7.7</v>
      </c>
      <c r="G82" s="22" t="n">
        <v>1</v>
      </c>
      <c r="H82" s="23" t="n">
        <v>7.7</v>
      </c>
      <c r="I82" s="22" t="s">
        <v>387</v>
      </c>
    </row>
    <row r="83" customFormat="false" ht="15" hidden="false" customHeight="false" outlineLevel="0" collapsed="false">
      <c r="A83" s="0" t="s">
        <v>122</v>
      </c>
      <c r="B83" s="0" t="s">
        <v>123</v>
      </c>
      <c r="C83" s="0" t="s">
        <v>76</v>
      </c>
      <c r="D83" s="4" t="n">
        <v>45967</v>
      </c>
      <c r="E83" s="5" t="s">
        <v>11</v>
      </c>
      <c r="F83" s="14" t="n">
        <v>11.42</v>
      </c>
      <c r="G83" s="0" t="n">
        <v>5</v>
      </c>
      <c r="H83" s="6" t="n">
        <v>57.1</v>
      </c>
    </row>
    <row r="84" customFormat="false" ht="15" hidden="false" customHeight="false" outlineLevel="0" collapsed="false">
      <c r="A84" s="22" t="s">
        <v>122</v>
      </c>
      <c r="B84" s="22" t="s">
        <v>123</v>
      </c>
      <c r="C84" s="22" t="s">
        <v>76</v>
      </c>
      <c r="D84" s="21" t="n">
        <v>46000</v>
      </c>
      <c r="E84" s="22" t="s">
        <v>19</v>
      </c>
      <c r="F84" s="16" t="n">
        <v>11.2</v>
      </c>
      <c r="G84" s="22" t="n">
        <v>5</v>
      </c>
      <c r="H84" s="23" t="n">
        <v>56</v>
      </c>
      <c r="I84" s="22" t="s">
        <v>387</v>
      </c>
    </row>
    <row r="85" customFormat="false" ht="15" hidden="false" customHeight="false" outlineLevel="0" collapsed="false">
      <c r="A85" s="0" t="s">
        <v>122</v>
      </c>
      <c r="B85" s="0" t="s">
        <v>123</v>
      </c>
      <c r="C85" s="0" t="s">
        <v>76</v>
      </c>
      <c r="D85" s="4" t="n">
        <v>46007</v>
      </c>
      <c r="E85" s="5" t="s">
        <v>22</v>
      </c>
      <c r="F85" s="14" t="n">
        <v>11.42</v>
      </c>
      <c r="G85" s="0" t="n">
        <v>7</v>
      </c>
      <c r="H85" s="6" t="n">
        <v>79.94</v>
      </c>
    </row>
    <row r="86" customFormat="false" ht="15" hidden="false" customHeight="false" outlineLevel="0" collapsed="false">
      <c r="A86" s="22" t="s">
        <v>122</v>
      </c>
      <c r="B86" s="22" t="s">
        <v>123</v>
      </c>
      <c r="C86" s="22" t="s">
        <v>76</v>
      </c>
      <c r="D86" s="21" t="n">
        <v>46083</v>
      </c>
      <c r="E86" s="22" t="s">
        <v>26</v>
      </c>
      <c r="F86" s="16" t="n">
        <v>11.2</v>
      </c>
      <c r="G86" s="22" t="n">
        <v>3</v>
      </c>
      <c r="H86" s="23" t="n">
        <v>33.6</v>
      </c>
      <c r="I86" s="22" t="s">
        <v>387</v>
      </c>
    </row>
    <row r="87" customFormat="false" ht="15" hidden="false" customHeight="false" outlineLevel="0" collapsed="false">
      <c r="A87" s="0" t="s">
        <v>122</v>
      </c>
      <c r="B87" s="0" t="s">
        <v>123</v>
      </c>
      <c r="C87" s="0" t="s">
        <v>76</v>
      </c>
      <c r="D87" s="4" t="n">
        <v>46125</v>
      </c>
      <c r="E87" s="5" t="s">
        <v>31</v>
      </c>
      <c r="F87" s="14" t="n">
        <v>13.03</v>
      </c>
      <c r="G87" s="0" t="n">
        <v>3</v>
      </c>
      <c r="H87" s="6" t="n">
        <v>39.09</v>
      </c>
    </row>
    <row r="88" customFormat="false" ht="15" hidden="false" customHeight="false" outlineLevel="0" collapsed="false">
      <c r="A88" s="0" t="s">
        <v>208</v>
      </c>
      <c r="B88" s="0" t="s">
        <v>209</v>
      </c>
      <c r="C88" s="0" t="s">
        <v>160</v>
      </c>
      <c r="D88" s="4" t="n">
        <v>45967</v>
      </c>
      <c r="E88" s="5" t="s">
        <v>11</v>
      </c>
      <c r="F88" s="14" t="n">
        <v>10.65</v>
      </c>
      <c r="G88" s="0" t="n">
        <v>1</v>
      </c>
      <c r="H88" s="6" t="n">
        <v>10.65</v>
      </c>
    </row>
    <row r="89" customFormat="false" ht="15" hidden="false" customHeight="false" outlineLevel="0" collapsed="false">
      <c r="A89" s="0" t="s">
        <v>208</v>
      </c>
      <c r="B89" s="0" t="s">
        <v>209</v>
      </c>
      <c r="C89" s="0" t="s">
        <v>160</v>
      </c>
      <c r="D89" s="4" t="n">
        <v>46083</v>
      </c>
      <c r="E89" s="5" t="s">
        <v>26</v>
      </c>
      <c r="F89" s="14" t="n">
        <v>10.65</v>
      </c>
      <c r="G89" s="0" t="n">
        <v>1</v>
      </c>
      <c r="H89" s="6" t="n">
        <v>10.65</v>
      </c>
    </row>
    <row r="90" customFormat="false" ht="15" hidden="false" customHeight="false" outlineLevel="0" collapsed="false">
      <c r="A90" s="0" t="s">
        <v>210</v>
      </c>
      <c r="B90" s="0" t="s">
        <v>211</v>
      </c>
      <c r="C90" s="0" t="s">
        <v>160</v>
      </c>
      <c r="D90" s="4" t="n">
        <v>46097</v>
      </c>
      <c r="E90" s="5" t="s">
        <v>27</v>
      </c>
      <c r="F90" s="14" t="n">
        <v>12.87</v>
      </c>
      <c r="G90" s="0" t="n">
        <v>1</v>
      </c>
      <c r="H90" s="6" t="n">
        <v>12.87</v>
      </c>
    </row>
    <row r="91" customFormat="false" ht="15" hidden="false" customHeight="false" outlineLevel="0" collapsed="false">
      <c r="A91" s="0" t="s">
        <v>124</v>
      </c>
      <c r="B91" s="0" t="s">
        <v>125</v>
      </c>
      <c r="C91" s="0" t="s">
        <v>76</v>
      </c>
      <c r="D91" s="4" t="n">
        <v>45967</v>
      </c>
      <c r="E91" s="5" t="s">
        <v>11</v>
      </c>
      <c r="F91" s="14" t="n">
        <v>9.63</v>
      </c>
      <c r="G91" s="0" t="n">
        <v>4</v>
      </c>
      <c r="H91" s="6" t="n">
        <v>38.52</v>
      </c>
    </row>
    <row r="92" customFormat="false" ht="15" hidden="false" customHeight="false" outlineLevel="0" collapsed="false">
      <c r="A92" s="0" t="s">
        <v>124</v>
      </c>
      <c r="B92" s="0" t="s">
        <v>125</v>
      </c>
      <c r="C92" s="0" t="s">
        <v>76</v>
      </c>
      <c r="D92" s="4" t="n">
        <v>45979</v>
      </c>
      <c r="E92" s="5" t="s">
        <v>13</v>
      </c>
      <c r="F92" s="14" t="n">
        <v>9.63</v>
      </c>
      <c r="G92" s="0" t="n">
        <v>2</v>
      </c>
      <c r="H92" s="6" t="n">
        <v>19.26</v>
      </c>
    </row>
    <row r="93" customFormat="false" ht="15" hidden="false" customHeight="false" outlineLevel="0" collapsed="false">
      <c r="A93" s="22" t="s">
        <v>124</v>
      </c>
      <c r="B93" s="22" t="s">
        <v>125</v>
      </c>
      <c r="C93" s="22" t="s">
        <v>76</v>
      </c>
      <c r="D93" s="21" t="n">
        <v>46000</v>
      </c>
      <c r="E93" s="22" t="s">
        <v>19</v>
      </c>
      <c r="F93" s="16" t="n">
        <v>8.02</v>
      </c>
      <c r="G93" s="22" t="n">
        <v>3</v>
      </c>
      <c r="H93" s="23" t="n">
        <v>24.06</v>
      </c>
      <c r="I93" s="22" t="s">
        <v>387</v>
      </c>
    </row>
    <row r="94" customFormat="false" ht="15" hidden="false" customHeight="false" outlineLevel="0" collapsed="false">
      <c r="A94" s="22" t="s">
        <v>124</v>
      </c>
      <c r="B94" s="22" t="s">
        <v>125</v>
      </c>
      <c r="C94" s="22" t="s">
        <v>76</v>
      </c>
      <c r="D94" s="21" t="n">
        <v>46007</v>
      </c>
      <c r="E94" s="22" t="s">
        <v>22</v>
      </c>
      <c r="F94" s="16" t="n">
        <v>8.02</v>
      </c>
      <c r="G94" s="22" t="n">
        <v>2</v>
      </c>
      <c r="H94" s="23" t="n">
        <v>16.04</v>
      </c>
      <c r="I94" s="22" t="s">
        <v>387</v>
      </c>
    </row>
    <row r="95" customFormat="false" ht="15" hidden="false" customHeight="false" outlineLevel="0" collapsed="false">
      <c r="A95" s="22" t="s">
        <v>124</v>
      </c>
      <c r="B95" s="22" t="s">
        <v>125</v>
      </c>
      <c r="C95" s="22" t="s">
        <v>76</v>
      </c>
      <c r="D95" s="21" t="n">
        <v>46083</v>
      </c>
      <c r="E95" s="22" t="s">
        <v>26</v>
      </c>
      <c r="F95" s="16" t="n">
        <v>8.02</v>
      </c>
      <c r="G95" s="22" t="n">
        <v>3</v>
      </c>
      <c r="H95" s="23" t="n">
        <v>24.06</v>
      </c>
      <c r="I95" s="22" t="s">
        <v>387</v>
      </c>
    </row>
    <row r="96" customFormat="false" ht="15" hidden="false" customHeight="false" outlineLevel="0" collapsed="false">
      <c r="A96" s="22" t="s">
        <v>124</v>
      </c>
      <c r="B96" s="22" t="s">
        <v>125</v>
      </c>
      <c r="C96" s="22" t="s">
        <v>76</v>
      </c>
      <c r="D96" s="21" t="n">
        <v>46097</v>
      </c>
      <c r="E96" s="22" t="s">
        <v>27</v>
      </c>
      <c r="F96" s="16" t="n">
        <v>8.02</v>
      </c>
      <c r="G96" s="22" t="n">
        <v>2</v>
      </c>
      <c r="H96" s="23" t="n">
        <v>16.04</v>
      </c>
      <c r="I96" s="22" t="s">
        <v>387</v>
      </c>
    </row>
    <row r="97" customFormat="false" ht="15" hidden="false" customHeight="false" outlineLevel="0" collapsed="false">
      <c r="A97" s="0" t="s">
        <v>124</v>
      </c>
      <c r="B97" s="0" t="s">
        <v>125</v>
      </c>
      <c r="C97" s="0" t="s">
        <v>76</v>
      </c>
      <c r="D97" s="4" t="n">
        <v>46125</v>
      </c>
      <c r="E97" s="5" t="s">
        <v>31</v>
      </c>
      <c r="F97" s="14" t="n">
        <v>12.55</v>
      </c>
      <c r="G97" s="0" t="n">
        <v>2</v>
      </c>
      <c r="H97" s="6" t="n">
        <v>25.1</v>
      </c>
    </row>
    <row r="98" customFormat="false" ht="15" hidden="false" customHeight="false" outlineLevel="0" collapsed="false">
      <c r="A98" s="0" t="s">
        <v>124</v>
      </c>
      <c r="B98" s="0" t="s">
        <v>125</v>
      </c>
      <c r="C98" s="0" t="s">
        <v>76</v>
      </c>
      <c r="D98" s="4" t="n">
        <v>46147</v>
      </c>
      <c r="E98" s="5" t="s">
        <v>32</v>
      </c>
      <c r="F98" s="14" t="n">
        <v>12.55</v>
      </c>
      <c r="G98" s="0" t="n">
        <v>3</v>
      </c>
      <c r="H98" s="6" t="n">
        <v>37.65</v>
      </c>
    </row>
    <row r="99" customFormat="false" ht="15" hidden="false" customHeight="false" outlineLevel="0" collapsed="false">
      <c r="A99" s="0" t="s">
        <v>170</v>
      </c>
      <c r="B99" s="0" t="s">
        <v>171</v>
      </c>
      <c r="C99" s="0" t="s">
        <v>76</v>
      </c>
      <c r="D99" s="4" t="n">
        <v>46083</v>
      </c>
      <c r="E99" s="5" t="s">
        <v>26</v>
      </c>
      <c r="F99" s="14" t="n">
        <v>23.9</v>
      </c>
      <c r="G99" s="0" t="n">
        <v>1</v>
      </c>
      <c r="H99" s="6" t="n">
        <v>23.9</v>
      </c>
    </row>
    <row r="100" customFormat="false" ht="15" hidden="false" customHeight="false" outlineLevel="0" collapsed="false">
      <c r="A100" s="0" t="s">
        <v>170</v>
      </c>
      <c r="B100" s="0" t="s">
        <v>171</v>
      </c>
      <c r="C100" s="0" t="s">
        <v>76</v>
      </c>
      <c r="D100" s="4" t="n">
        <v>46125</v>
      </c>
      <c r="E100" s="5" t="s">
        <v>31</v>
      </c>
      <c r="F100" s="14" t="n">
        <v>27.85</v>
      </c>
      <c r="G100" s="0" t="n">
        <v>2</v>
      </c>
      <c r="H100" s="6" t="n">
        <v>55.7</v>
      </c>
    </row>
    <row r="101" customFormat="false" ht="15" hidden="false" customHeight="false" outlineLevel="0" collapsed="false">
      <c r="A101" s="0" t="s">
        <v>172</v>
      </c>
      <c r="B101" s="0" t="s">
        <v>173</v>
      </c>
      <c r="C101" s="0" t="s">
        <v>169</v>
      </c>
      <c r="D101" s="4" t="n">
        <v>45979</v>
      </c>
      <c r="E101" s="5" t="s">
        <v>13</v>
      </c>
      <c r="F101" s="14" t="n">
        <v>10.48</v>
      </c>
      <c r="G101" s="0" t="n">
        <v>5</v>
      </c>
      <c r="H101" s="6" t="n">
        <v>52.4</v>
      </c>
    </row>
    <row r="102" customFormat="false" ht="15" hidden="false" customHeight="false" outlineLevel="0" collapsed="false">
      <c r="A102" s="0" t="s">
        <v>172</v>
      </c>
      <c r="B102" s="0" t="s">
        <v>173</v>
      </c>
      <c r="C102" s="0" t="s">
        <v>169</v>
      </c>
      <c r="D102" s="4" t="n">
        <v>45986</v>
      </c>
      <c r="E102" s="5" t="s">
        <v>15</v>
      </c>
      <c r="F102" s="14" t="n">
        <v>10.48</v>
      </c>
      <c r="G102" s="0" t="n">
        <v>2</v>
      </c>
      <c r="H102" s="6" t="n">
        <v>20.96</v>
      </c>
    </row>
    <row r="103" customFormat="false" ht="15" hidden="false" customHeight="false" outlineLevel="0" collapsed="false">
      <c r="A103" s="0" t="s">
        <v>172</v>
      </c>
      <c r="B103" s="0" t="s">
        <v>173</v>
      </c>
      <c r="C103" s="0" t="s">
        <v>169</v>
      </c>
      <c r="D103" s="4" t="n">
        <v>46007</v>
      </c>
      <c r="E103" s="5" t="s">
        <v>22</v>
      </c>
      <c r="F103" s="14" t="n">
        <v>10.48</v>
      </c>
      <c r="G103" s="0" t="n">
        <v>4</v>
      </c>
      <c r="H103" s="6" t="n">
        <v>41.92</v>
      </c>
    </row>
    <row r="104" customFormat="false" ht="15" hidden="false" customHeight="false" outlineLevel="0" collapsed="false">
      <c r="A104" s="0" t="s">
        <v>172</v>
      </c>
      <c r="B104" s="0" t="s">
        <v>173</v>
      </c>
      <c r="C104" s="0" t="s">
        <v>169</v>
      </c>
      <c r="D104" s="4" t="n">
        <v>46147</v>
      </c>
      <c r="E104" s="5" t="s">
        <v>32</v>
      </c>
      <c r="F104" s="14" t="n">
        <v>12</v>
      </c>
      <c r="G104" s="0" t="n">
        <v>9</v>
      </c>
      <c r="H104" s="6" t="n">
        <v>108</v>
      </c>
    </row>
    <row r="105" customFormat="false" ht="15" hidden="false" customHeight="false" outlineLevel="0" collapsed="false">
      <c r="A105" s="0" t="s">
        <v>126</v>
      </c>
      <c r="B105" s="0" t="s">
        <v>127</v>
      </c>
      <c r="C105" s="0" t="s">
        <v>76</v>
      </c>
      <c r="D105" s="4" t="n">
        <v>46000</v>
      </c>
      <c r="E105" s="5" t="s">
        <v>19</v>
      </c>
      <c r="F105" s="14" t="n">
        <v>16.68</v>
      </c>
      <c r="G105" s="0" t="n">
        <v>2</v>
      </c>
      <c r="H105" s="6" t="n">
        <v>33.36</v>
      </c>
    </row>
    <row r="106" customFormat="false" ht="15" hidden="false" customHeight="false" outlineLevel="0" collapsed="false">
      <c r="A106" s="0" t="s">
        <v>126</v>
      </c>
      <c r="B106" s="0" t="s">
        <v>127</v>
      </c>
      <c r="C106" s="0" t="s">
        <v>76</v>
      </c>
      <c r="D106" s="4" t="n">
        <v>46007</v>
      </c>
      <c r="E106" s="5" t="s">
        <v>22</v>
      </c>
      <c r="F106" s="14" t="n">
        <v>16.68</v>
      </c>
      <c r="G106" s="0" t="n">
        <v>1</v>
      </c>
      <c r="H106" s="6" t="n">
        <v>16.68</v>
      </c>
    </row>
    <row r="107" customFormat="false" ht="15" hidden="false" customHeight="false" outlineLevel="0" collapsed="false">
      <c r="A107" s="0" t="s">
        <v>126</v>
      </c>
      <c r="B107" s="0" t="s">
        <v>127</v>
      </c>
      <c r="C107" s="0" t="s">
        <v>76</v>
      </c>
      <c r="D107" s="4" t="n">
        <v>46083</v>
      </c>
      <c r="E107" s="5" t="s">
        <v>26</v>
      </c>
      <c r="F107" s="14" t="n">
        <v>16.68</v>
      </c>
      <c r="G107" s="0" t="n">
        <v>1</v>
      </c>
      <c r="H107" s="6" t="n">
        <v>16.68</v>
      </c>
    </row>
    <row r="108" customFormat="false" ht="15" hidden="false" customHeight="false" outlineLevel="0" collapsed="false">
      <c r="A108" s="0" t="s">
        <v>126</v>
      </c>
      <c r="B108" s="0" t="s">
        <v>127</v>
      </c>
      <c r="C108" s="0" t="s">
        <v>76</v>
      </c>
      <c r="D108" s="4" t="n">
        <v>46097</v>
      </c>
      <c r="E108" s="5" t="s">
        <v>27</v>
      </c>
      <c r="F108" s="14" t="n">
        <v>16.84</v>
      </c>
      <c r="G108" s="0" t="n">
        <v>1</v>
      </c>
      <c r="H108" s="6" t="n">
        <v>16.84</v>
      </c>
    </row>
    <row r="109" customFormat="false" ht="15" hidden="false" customHeight="false" outlineLevel="0" collapsed="false">
      <c r="A109" s="0" t="s">
        <v>126</v>
      </c>
      <c r="B109" s="0" t="s">
        <v>127</v>
      </c>
      <c r="C109" s="0" t="s">
        <v>76</v>
      </c>
      <c r="D109" s="4" t="n">
        <v>46125</v>
      </c>
      <c r="E109" s="5" t="s">
        <v>31</v>
      </c>
      <c r="F109" s="14" t="n">
        <v>19.43</v>
      </c>
      <c r="G109" s="0" t="n">
        <v>2</v>
      </c>
      <c r="H109" s="6" t="n">
        <v>38.86</v>
      </c>
    </row>
    <row r="110" customFormat="false" ht="15" hidden="false" customHeight="false" outlineLevel="0" collapsed="false">
      <c r="A110" s="0" t="s">
        <v>212</v>
      </c>
      <c r="B110" s="0" t="s">
        <v>213</v>
      </c>
      <c r="C110" s="0" t="s">
        <v>214</v>
      </c>
      <c r="D110" s="4" t="n">
        <v>46120</v>
      </c>
      <c r="E110" s="5" t="s">
        <v>30</v>
      </c>
      <c r="F110" s="14" t="n">
        <v>2.36</v>
      </c>
      <c r="G110" s="0" t="n">
        <v>2</v>
      </c>
      <c r="H110" s="6" t="n">
        <v>4.72</v>
      </c>
    </row>
    <row r="111" customFormat="false" ht="15" hidden="false" customHeight="false" outlineLevel="0" collapsed="false">
      <c r="A111" s="0" t="s">
        <v>215</v>
      </c>
      <c r="B111" s="0" t="s">
        <v>216</v>
      </c>
      <c r="C111" s="0" t="s">
        <v>217</v>
      </c>
      <c r="D111" s="4" t="n">
        <v>45979</v>
      </c>
      <c r="E111" s="5" t="s">
        <v>13</v>
      </c>
      <c r="F111" s="14" t="n">
        <v>2.92</v>
      </c>
      <c r="G111" s="0" t="n">
        <v>3</v>
      </c>
      <c r="H111" s="6" t="n">
        <v>8.76</v>
      </c>
    </row>
    <row r="112" customFormat="false" ht="15" hidden="false" customHeight="false" outlineLevel="0" collapsed="false">
      <c r="A112" s="0" t="s">
        <v>215</v>
      </c>
      <c r="B112" s="0" t="s">
        <v>216</v>
      </c>
      <c r="C112" s="0" t="s">
        <v>217</v>
      </c>
      <c r="D112" s="4" t="n">
        <v>46120</v>
      </c>
      <c r="E112" s="5" t="s">
        <v>30</v>
      </c>
      <c r="F112" s="14" t="n">
        <v>2.92</v>
      </c>
      <c r="G112" s="0" t="n">
        <v>2</v>
      </c>
      <c r="H112" s="6" t="n">
        <v>5.84</v>
      </c>
    </row>
    <row r="113" customFormat="false" ht="15" hidden="false" customHeight="false" outlineLevel="0" collapsed="false">
      <c r="A113" s="0" t="s">
        <v>218</v>
      </c>
      <c r="B113" s="0" t="s">
        <v>219</v>
      </c>
      <c r="C113" s="0" t="s">
        <v>98</v>
      </c>
      <c r="D113" s="4" t="n">
        <v>45986</v>
      </c>
      <c r="E113" s="5" t="s">
        <v>15</v>
      </c>
      <c r="F113" s="14" t="n">
        <v>7.21</v>
      </c>
      <c r="G113" s="0" t="n">
        <v>4</v>
      </c>
      <c r="H113" s="6" t="n">
        <v>28.84</v>
      </c>
    </row>
    <row r="114" customFormat="false" ht="15" hidden="false" customHeight="false" outlineLevel="0" collapsed="false">
      <c r="A114" s="0" t="s">
        <v>220</v>
      </c>
      <c r="B114" s="0" t="s">
        <v>221</v>
      </c>
      <c r="C114" s="0" t="s">
        <v>98</v>
      </c>
      <c r="D114" s="4" t="n">
        <v>45967</v>
      </c>
      <c r="E114" s="5" t="s">
        <v>11</v>
      </c>
      <c r="F114" s="14" t="n">
        <v>17.72</v>
      </c>
      <c r="G114" s="0" t="n">
        <v>1</v>
      </c>
      <c r="H114" s="6" t="n">
        <v>17.72</v>
      </c>
    </row>
    <row r="115" customFormat="false" ht="15" hidden="false" customHeight="false" outlineLevel="0" collapsed="false">
      <c r="A115" s="0" t="s">
        <v>220</v>
      </c>
      <c r="B115" s="0" t="s">
        <v>221</v>
      </c>
      <c r="C115" s="0" t="s">
        <v>98</v>
      </c>
      <c r="D115" s="4" t="n">
        <v>46007</v>
      </c>
      <c r="E115" s="5" t="s">
        <v>22</v>
      </c>
      <c r="F115" s="14" t="n">
        <v>17.72</v>
      </c>
      <c r="G115" s="0" t="n">
        <v>1</v>
      </c>
      <c r="H115" s="6" t="n">
        <v>17.72</v>
      </c>
    </row>
    <row r="116" customFormat="false" ht="15" hidden="false" customHeight="false" outlineLevel="0" collapsed="false">
      <c r="A116" s="0" t="s">
        <v>220</v>
      </c>
      <c r="B116" s="0" t="s">
        <v>221</v>
      </c>
      <c r="C116" s="0" t="s">
        <v>98</v>
      </c>
      <c r="D116" s="4" t="n">
        <v>46083</v>
      </c>
      <c r="E116" s="5" t="s">
        <v>26</v>
      </c>
      <c r="F116" s="14" t="n">
        <v>17.72</v>
      </c>
      <c r="G116" s="0" t="n">
        <v>1</v>
      </c>
      <c r="H116" s="6" t="n">
        <v>17.72</v>
      </c>
    </row>
    <row r="117" customFormat="false" ht="15" hidden="false" customHeight="false" outlineLevel="0" collapsed="false">
      <c r="A117" s="0" t="s">
        <v>222</v>
      </c>
      <c r="B117" s="0" t="s">
        <v>223</v>
      </c>
      <c r="C117" s="0" t="s">
        <v>98</v>
      </c>
      <c r="D117" s="4" t="n">
        <v>46097</v>
      </c>
      <c r="E117" s="5" t="s">
        <v>27</v>
      </c>
      <c r="F117" s="14" t="n">
        <v>25.73</v>
      </c>
      <c r="G117" s="0" t="n">
        <v>2</v>
      </c>
      <c r="H117" s="6" t="n">
        <v>51.46</v>
      </c>
    </row>
    <row r="118" customFormat="false" ht="15" hidden="false" customHeight="false" outlineLevel="0" collapsed="false">
      <c r="A118" s="0" t="s">
        <v>222</v>
      </c>
      <c r="B118" s="0" t="s">
        <v>223</v>
      </c>
      <c r="C118" s="0" t="s">
        <v>98</v>
      </c>
      <c r="D118" s="4" t="n">
        <v>46105</v>
      </c>
      <c r="E118" s="5" t="s">
        <v>28</v>
      </c>
      <c r="F118" s="14" t="n">
        <v>25.73</v>
      </c>
      <c r="G118" s="0" t="n">
        <v>1</v>
      </c>
      <c r="H118" s="6" t="n">
        <v>25.73</v>
      </c>
    </row>
    <row r="119" customFormat="false" ht="15" hidden="false" customHeight="false" outlineLevel="0" collapsed="false">
      <c r="A119" s="0" t="s">
        <v>128</v>
      </c>
      <c r="B119" s="0" t="s">
        <v>129</v>
      </c>
      <c r="C119" s="0" t="s">
        <v>98</v>
      </c>
      <c r="D119" s="4" t="n">
        <v>45967</v>
      </c>
      <c r="E119" s="5" t="s">
        <v>11</v>
      </c>
      <c r="F119" s="14" t="n">
        <v>15.19</v>
      </c>
      <c r="G119" s="0" t="n">
        <v>1</v>
      </c>
      <c r="H119" s="6" t="n">
        <v>15.19</v>
      </c>
    </row>
    <row r="120" customFormat="false" ht="15" hidden="false" customHeight="false" outlineLevel="0" collapsed="false">
      <c r="A120" s="0" t="s">
        <v>128</v>
      </c>
      <c r="B120" s="0" t="s">
        <v>129</v>
      </c>
      <c r="C120" s="0" t="s">
        <v>98</v>
      </c>
      <c r="D120" s="4" t="n">
        <v>46000</v>
      </c>
      <c r="E120" s="5" t="s">
        <v>19</v>
      </c>
      <c r="F120" s="14" t="n">
        <v>15.19</v>
      </c>
      <c r="G120" s="0" t="n">
        <v>1</v>
      </c>
      <c r="H120" s="6" t="n">
        <v>15.19</v>
      </c>
    </row>
    <row r="121" customFormat="false" ht="15" hidden="false" customHeight="false" outlineLevel="0" collapsed="false">
      <c r="A121" s="0" t="s">
        <v>128</v>
      </c>
      <c r="B121" s="0" t="s">
        <v>129</v>
      </c>
      <c r="C121" s="0" t="s">
        <v>98</v>
      </c>
      <c r="D121" s="4" t="n">
        <v>46007</v>
      </c>
      <c r="E121" s="5" t="s">
        <v>22</v>
      </c>
      <c r="F121" s="14" t="n">
        <v>15.19</v>
      </c>
      <c r="G121" s="0" t="n">
        <v>2</v>
      </c>
      <c r="H121" s="6" t="n">
        <v>30.38</v>
      </c>
    </row>
    <row r="122" customFormat="false" ht="15" hidden="false" customHeight="false" outlineLevel="0" collapsed="false">
      <c r="A122" s="0" t="s">
        <v>128</v>
      </c>
      <c r="B122" s="0" t="s">
        <v>129</v>
      </c>
      <c r="C122" s="0" t="s">
        <v>98</v>
      </c>
      <c r="D122" s="4" t="n">
        <v>46076</v>
      </c>
      <c r="E122" s="5" t="s">
        <v>25</v>
      </c>
      <c r="F122" s="14" t="n">
        <v>15.19</v>
      </c>
      <c r="G122" s="0" t="n">
        <v>1</v>
      </c>
      <c r="H122" s="6" t="n">
        <v>15.19</v>
      </c>
    </row>
    <row r="123" customFormat="false" ht="15" hidden="false" customHeight="false" outlineLevel="0" collapsed="false">
      <c r="A123" s="22" t="s">
        <v>128</v>
      </c>
      <c r="B123" s="22" t="s">
        <v>129</v>
      </c>
      <c r="C123" s="22" t="s">
        <v>98</v>
      </c>
      <c r="D123" s="21" t="n">
        <v>46083</v>
      </c>
      <c r="E123" s="22" t="s">
        <v>26</v>
      </c>
      <c r="F123" s="16" t="n">
        <v>13.4</v>
      </c>
      <c r="G123" s="22" t="n">
        <v>2</v>
      </c>
      <c r="H123" s="23" t="n">
        <v>26.8</v>
      </c>
      <c r="I123" s="22" t="s">
        <v>387</v>
      </c>
    </row>
    <row r="124" customFormat="false" ht="15" hidden="false" customHeight="false" outlineLevel="0" collapsed="false">
      <c r="A124" s="0" t="s">
        <v>128</v>
      </c>
      <c r="B124" s="0" t="s">
        <v>129</v>
      </c>
      <c r="C124" s="0" t="s">
        <v>98</v>
      </c>
      <c r="D124" s="4" t="n">
        <v>46147</v>
      </c>
      <c r="E124" s="5" t="s">
        <v>32</v>
      </c>
      <c r="F124" s="14" t="n">
        <v>18.03</v>
      </c>
      <c r="G124" s="0" t="n">
        <v>3</v>
      </c>
      <c r="H124" s="6" t="n">
        <v>54.09</v>
      </c>
    </row>
    <row r="125" customFormat="false" ht="15" hidden="false" customHeight="false" outlineLevel="0" collapsed="false">
      <c r="A125" s="22" t="s">
        <v>224</v>
      </c>
      <c r="B125" s="22" t="s">
        <v>225</v>
      </c>
      <c r="C125" s="22" t="s">
        <v>98</v>
      </c>
      <c r="D125" s="21" t="n">
        <v>46083</v>
      </c>
      <c r="E125" s="22" t="s">
        <v>26</v>
      </c>
      <c r="F125" s="16" t="n">
        <v>13.81</v>
      </c>
      <c r="G125" s="22" t="n">
        <v>1</v>
      </c>
      <c r="H125" s="23" t="n">
        <v>13.81</v>
      </c>
      <c r="I125" s="22" t="s">
        <v>387</v>
      </c>
    </row>
    <row r="126" customFormat="false" ht="15" hidden="false" customHeight="false" outlineLevel="0" collapsed="false">
      <c r="A126" s="0" t="s">
        <v>174</v>
      </c>
      <c r="B126" s="0" t="s">
        <v>175</v>
      </c>
      <c r="C126" s="0" t="s">
        <v>98</v>
      </c>
      <c r="D126" s="4" t="n">
        <v>45967</v>
      </c>
      <c r="E126" s="5" t="s">
        <v>11</v>
      </c>
      <c r="F126" s="14" t="n">
        <v>20.57</v>
      </c>
      <c r="G126" s="0" t="n">
        <v>2</v>
      </c>
      <c r="H126" s="6" t="n">
        <v>41.14</v>
      </c>
    </row>
    <row r="127" customFormat="false" ht="15" hidden="false" customHeight="false" outlineLevel="0" collapsed="false">
      <c r="A127" s="0" t="s">
        <v>174</v>
      </c>
      <c r="B127" s="0" t="s">
        <v>175</v>
      </c>
      <c r="C127" s="0" t="s">
        <v>98</v>
      </c>
      <c r="D127" s="4" t="n">
        <v>45979</v>
      </c>
      <c r="E127" s="5" t="s">
        <v>13</v>
      </c>
      <c r="F127" s="14" t="n">
        <v>20.57</v>
      </c>
      <c r="G127" s="0" t="n">
        <v>1</v>
      </c>
      <c r="H127" s="6" t="n">
        <v>20.57</v>
      </c>
    </row>
    <row r="128" customFormat="false" ht="15" hidden="false" customHeight="false" outlineLevel="0" collapsed="false">
      <c r="A128" s="22" t="s">
        <v>174</v>
      </c>
      <c r="B128" s="22" t="s">
        <v>175</v>
      </c>
      <c r="C128" s="22" t="s">
        <v>98</v>
      </c>
      <c r="D128" s="21" t="n">
        <v>46000</v>
      </c>
      <c r="E128" s="22" t="s">
        <v>19</v>
      </c>
      <c r="F128" s="16" t="n">
        <v>17.14</v>
      </c>
      <c r="G128" s="22" t="n">
        <v>2</v>
      </c>
      <c r="H128" s="23" t="n">
        <v>34.28</v>
      </c>
      <c r="I128" s="22" t="s">
        <v>387</v>
      </c>
    </row>
    <row r="129" customFormat="false" ht="15" hidden="false" customHeight="false" outlineLevel="0" collapsed="false">
      <c r="A129" s="0" t="s">
        <v>174</v>
      </c>
      <c r="B129" s="0" t="s">
        <v>175</v>
      </c>
      <c r="C129" s="0" t="s">
        <v>98</v>
      </c>
      <c r="D129" s="4" t="n">
        <v>46007</v>
      </c>
      <c r="E129" s="5" t="s">
        <v>22</v>
      </c>
      <c r="F129" s="14" t="n">
        <v>20.57</v>
      </c>
      <c r="G129" s="0" t="n">
        <v>1</v>
      </c>
      <c r="H129" s="6" t="n">
        <v>20.57</v>
      </c>
    </row>
    <row r="130" customFormat="false" ht="15" hidden="false" customHeight="false" outlineLevel="0" collapsed="false">
      <c r="A130" s="0" t="s">
        <v>174</v>
      </c>
      <c r="B130" s="0" t="s">
        <v>175</v>
      </c>
      <c r="C130" s="0" t="s">
        <v>98</v>
      </c>
      <c r="D130" s="4" t="n">
        <v>46083</v>
      </c>
      <c r="E130" s="5" t="s">
        <v>26</v>
      </c>
      <c r="F130" s="14" t="n">
        <v>20.57</v>
      </c>
      <c r="G130" s="0" t="n">
        <v>2</v>
      </c>
      <c r="H130" s="6" t="n">
        <v>41.14</v>
      </c>
    </row>
    <row r="131" customFormat="false" ht="15" hidden="false" customHeight="false" outlineLevel="0" collapsed="false">
      <c r="A131" s="0" t="s">
        <v>174</v>
      </c>
      <c r="B131" s="0" t="s">
        <v>175</v>
      </c>
      <c r="C131" s="0" t="s">
        <v>98</v>
      </c>
      <c r="D131" s="4" t="n">
        <v>46097</v>
      </c>
      <c r="E131" s="5" t="s">
        <v>27</v>
      </c>
      <c r="F131" s="14" t="n">
        <v>20.57</v>
      </c>
      <c r="G131" s="0" t="n">
        <v>1</v>
      </c>
      <c r="H131" s="6" t="n">
        <v>20.57</v>
      </c>
    </row>
    <row r="132" customFormat="false" ht="15" hidden="false" customHeight="false" outlineLevel="0" collapsed="false">
      <c r="A132" s="0" t="s">
        <v>130</v>
      </c>
      <c r="B132" s="0" t="s">
        <v>131</v>
      </c>
      <c r="C132" s="0" t="s">
        <v>98</v>
      </c>
      <c r="D132" s="4" t="n">
        <v>45967</v>
      </c>
      <c r="E132" s="5" t="s">
        <v>11</v>
      </c>
      <c r="F132" s="14" t="n">
        <v>4.41</v>
      </c>
      <c r="G132" s="0" t="n">
        <v>8</v>
      </c>
      <c r="H132" s="6" t="n">
        <v>35.28</v>
      </c>
    </row>
    <row r="133" customFormat="false" ht="15" hidden="false" customHeight="false" outlineLevel="0" collapsed="false">
      <c r="A133" s="0" t="s">
        <v>130</v>
      </c>
      <c r="B133" s="0" t="s">
        <v>131</v>
      </c>
      <c r="C133" s="0" t="s">
        <v>98</v>
      </c>
      <c r="D133" s="4" t="n">
        <v>45979</v>
      </c>
      <c r="E133" s="5" t="s">
        <v>13</v>
      </c>
      <c r="F133" s="14" t="n">
        <v>4.41</v>
      </c>
      <c r="G133" s="0" t="n">
        <v>2</v>
      </c>
      <c r="H133" s="6" t="n">
        <v>8.82</v>
      </c>
    </row>
    <row r="134" customFormat="false" ht="15" hidden="false" customHeight="false" outlineLevel="0" collapsed="false">
      <c r="A134" s="0" t="s">
        <v>130</v>
      </c>
      <c r="B134" s="0" t="s">
        <v>131</v>
      </c>
      <c r="C134" s="0" t="s">
        <v>98</v>
      </c>
      <c r="D134" s="4" t="n">
        <v>46007</v>
      </c>
      <c r="E134" s="5" t="s">
        <v>22</v>
      </c>
      <c r="F134" s="14" t="n">
        <v>4.41</v>
      </c>
      <c r="G134" s="0" t="n">
        <v>11</v>
      </c>
      <c r="H134" s="6" t="n">
        <v>48.51</v>
      </c>
    </row>
    <row r="135" customFormat="false" ht="15" hidden="false" customHeight="false" outlineLevel="0" collapsed="false">
      <c r="A135" s="0" t="s">
        <v>130</v>
      </c>
      <c r="B135" s="0" t="s">
        <v>131</v>
      </c>
      <c r="C135" s="0" t="s">
        <v>98</v>
      </c>
      <c r="D135" s="4" t="n">
        <v>46083</v>
      </c>
      <c r="E135" s="5" t="s">
        <v>26</v>
      </c>
      <c r="F135" s="14" t="n">
        <v>4.41</v>
      </c>
      <c r="G135" s="0" t="n">
        <v>3</v>
      </c>
      <c r="H135" s="6" t="n">
        <v>13.23</v>
      </c>
    </row>
    <row r="136" customFormat="false" ht="15" hidden="false" customHeight="false" outlineLevel="0" collapsed="false">
      <c r="A136" s="0" t="s">
        <v>130</v>
      </c>
      <c r="B136" s="0" t="s">
        <v>131</v>
      </c>
      <c r="C136" s="0" t="s">
        <v>98</v>
      </c>
      <c r="D136" s="4" t="n">
        <v>46097</v>
      </c>
      <c r="E136" s="5" t="s">
        <v>27</v>
      </c>
      <c r="F136" s="14" t="n">
        <v>4.45</v>
      </c>
      <c r="G136" s="0" t="n">
        <v>3</v>
      </c>
      <c r="H136" s="6" t="n">
        <v>13.35</v>
      </c>
    </row>
    <row r="137" customFormat="false" ht="15" hidden="false" customHeight="false" outlineLevel="0" collapsed="false">
      <c r="A137" s="0" t="s">
        <v>130</v>
      </c>
      <c r="B137" s="0" t="s">
        <v>131</v>
      </c>
      <c r="C137" s="0" t="s">
        <v>98</v>
      </c>
      <c r="D137" s="4" t="n">
        <v>46147</v>
      </c>
      <c r="E137" s="5" t="s">
        <v>32</v>
      </c>
      <c r="F137" s="14" t="n">
        <v>5.02</v>
      </c>
      <c r="G137" s="0" t="n">
        <v>10</v>
      </c>
      <c r="H137" s="6" t="n">
        <v>50.2</v>
      </c>
    </row>
    <row r="138" customFormat="false" ht="15" hidden="false" customHeight="false" outlineLevel="0" collapsed="false">
      <c r="A138" s="0" t="s">
        <v>226</v>
      </c>
      <c r="B138" s="0" t="s">
        <v>227</v>
      </c>
      <c r="C138" s="0" t="s">
        <v>98</v>
      </c>
      <c r="D138" s="4" t="n">
        <v>45967</v>
      </c>
      <c r="E138" s="5" t="s">
        <v>11</v>
      </c>
      <c r="F138" s="14" t="n">
        <v>4.3</v>
      </c>
      <c r="G138" s="0" t="n">
        <v>5</v>
      </c>
      <c r="H138" s="6" t="n">
        <v>21.5</v>
      </c>
    </row>
    <row r="139" customFormat="false" ht="15" hidden="false" customHeight="false" outlineLevel="0" collapsed="false">
      <c r="A139" s="0" t="s">
        <v>226</v>
      </c>
      <c r="B139" s="0" t="s">
        <v>227</v>
      </c>
      <c r="C139" s="0" t="s">
        <v>98</v>
      </c>
      <c r="D139" s="4" t="n">
        <v>45979</v>
      </c>
      <c r="E139" s="5" t="s">
        <v>13</v>
      </c>
      <c r="F139" s="14" t="n">
        <v>4.3</v>
      </c>
      <c r="G139" s="0" t="n">
        <v>2</v>
      </c>
      <c r="H139" s="6" t="n">
        <v>8.6</v>
      </c>
    </row>
    <row r="140" customFormat="false" ht="15" hidden="false" customHeight="false" outlineLevel="0" collapsed="false">
      <c r="A140" s="0" t="s">
        <v>228</v>
      </c>
      <c r="B140" s="0" t="s">
        <v>229</v>
      </c>
      <c r="C140" s="0" t="s">
        <v>98</v>
      </c>
      <c r="D140" s="4" t="n">
        <v>46083</v>
      </c>
      <c r="E140" s="5" t="s">
        <v>26</v>
      </c>
      <c r="F140" s="14" t="n">
        <v>35.33</v>
      </c>
      <c r="G140" s="0" t="n">
        <v>1</v>
      </c>
      <c r="H140" s="6" t="n">
        <v>35.33</v>
      </c>
    </row>
    <row r="141" customFormat="false" ht="15" hidden="false" customHeight="false" outlineLevel="0" collapsed="false">
      <c r="A141" s="0" t="s">
        <v>230</v>
      </c>
      <c r="B141" s="0" t="s">
        <v>231</v>
      </c>
      <c r="C141" s="0" t="s">
        <v>98</v>
      </c>
      <c r="D141" s="4" t="n">
        <v>46002</v>
      </c>
      <c r="E141" s="5" t="s">
        <v>20</v>
      </c>
      <c r="F141" s="14" t="n">
        <v>3.79</v>
      </c>
      <c r="G141" s="0" t="n">
        <v>1</v>
      </c>
      <c r="H141" s="6" t="n">
        <v>3.79</v>
      </c>
    </row>
    <row r="142" customFormat="false" ht="15" hidden="false" customHeight="false" outlineLevel="0" collapsed="false">
      <c r="A142" s="0" t="s">
        <v>232</v>
      </c>
      <c r="B142" s="0" t="s">
        <v>233</v>
      </c>
      <c r="C142" s="0" t="s">
        <v>98</v>
      </c>
      <c r="D142" s="4" t="n">
        <v>46002</v>
      </c>
      <c r="E142" s="5" t="s">
        <v>20</v>
      </c>
      <c r="F142" s="14" t="n">
        <v>7.2</v>
      </c>
      <c r="G142" s="0" t="n">
        <v>1</v>
      </c>
      <c r="H142" s="6" t="n">
        <v>7.2</v>
      </c>
    </row>
    <row r="143" customFormat="false" ht="15" hidden="false" customHeight="false" outlineLevel="0" collapsed="false">
      <c r="A143" s="0" t="s">
        <v>234</v>
      </c>
      <c r="B143" s="0" t="s">
        <v>235</v>
      </c>
      <c r="C143" s="0" t="s">
        <v>98</v>
      </c>
      <c r="D143" s="4" t="n">
        <v>46002</v>
      </c>
      <c r="E143" s="5" t="s">
        <v>20</v>
      </c>
      <c r="F143" s="14" t="n">
        <v>4.23</v>
      </c>
      <c r="G143" s="0" t="n">
        <v>1</v>
      </c>
      <c r="H143" s="6" t="n">
        <v>4.23</v>
      </c>
    </row>
    <row r="144" customFormat="false" ht="15" hidden="false" customHeight="false" outlineLevel="0" collapsed="false">
      <c r="A144" s="0" t="s">
        <v>236</v>
      </c>
      <c r="B144" s="0" t="s">
        <v>237</v>
      </c>
      <c r="C144" s="0" t="s">
        <v>98</v>
      </c>
      <c r="D144" s="4" t="n">
        <v>46002</v>
      </c>
      <c r="E144" s="5" t="s">
        <v>20</v>
      </c>
      <c r="F144" s="14" t="n">
        <v>10.33</v>
      </c>
      <c r="G144" s="0" t="n">
        <v>2</v>
      </c>
      <c r="H144" s="6" t="n">
        <v>20.66</v>
      </c>
    </row>
    <row r="145" customFormat="false" ht="15" hidden="false" customHeight="false" outlineLevel="0" collapsed="false">
      <c r="A145" s="0" t="s">
        <v>238</v>
      </c>
      <c r="B145" s="0" t="s">
        <v>239</v>
      </c>
      <c r="C145" s="0" t="s">
        <v>98</v>
      </c>
      <c r="D145" s="4" t="n">
        <v>46002</v>
      </c>
      <c r="E145" s="5" t="s">
        <v>20</v>
      </c>
      <c r="F145" s="14" t="n">
        <v>11.28</v>
      </c>
      <c r="G145" s="0" t="n">
        <v>1</v>
      </c>
      <c r="H145" s="6" t="n">
        <v>11.28</v>
      </c>
    </row>
    <row r="146" customFormat="false" ht="15" hidden="false" customHeight="false" outlineLevel="0" collapsed="false">
      <c r="A146" s="0" t="s">
        <v>240</v>
      </c>
      <c r="B146" s="0" t="s">
        <v>241</v>
      </c>
      <c r="C146" s="0" t="s">
        <v>98</v>
      </c>
      <c r="D146" s="4" t="n">
        <v>46002</v>
      </c>
      <c r="E146" s="5" t="s">
        <v>20</v>
      </c>
      <c r="F146" s="14" t="n">
        <v>3.99</v>
      </c>
      <c r="G146" s="0" t="n">
        <v>2</v>
      </c>
      <c r="H146" s="6" t="n">
        <v>7.98</v>
      </c>
    </row>
    <row r="147" customFormat="false" ht="15" hidden="false" customHeight="false" outlineLevel="0" collapsed="false">
      <c r="A147" s="22" t="s">
        <v>96</v>
      </c>
      <c r="B147" s="22" t="s">
        <v>97</v>
      </c>
      <c r="C147" s="22" t="s">
        <v>98</v>
      </c>
      <c r="D147" s="21" t="n">
        <v>45967</v>
      </c>
      <c r="E147" s="22" t="s">
        <v>11</v>
      </c>
      <c r="F147" s="16" t="n">
        <v>14.83</v>
      </c>
      <c r="G147" s="22" t="n">
        <v>5</v>
      </c>
      <c r="H147" s="23" t="n">
        <v>74.15</v>
      </c>
      <c r="I147" s="22" t="s">
        <v>387</v>
      </c>
    </row>
    <row r="148" customFormat="false" ht="15" hidden="false" customHeight="false" outlineLevel="0" collapsed="false">
      <c r="A148" s="22" t="s">
        <v>96</v>
      </c>
      <c r="B148" s="22" t="s">
        <v>97</v>
      </c>
      <c r="C148" s="22" t="s">
        <v>98</v>
      </c>
      <c r="D148" s="21" t="n">
        <v>45979</v>
      </c>
      <c r="E148" s="22" t="s">
        <v>13</v>
      </c>
      <c r="F148" s="16" t="n">
        <v>14.83</v>
      </c>
      <c r="G148" s="22" t="n">
        <v>1</v>
      </c>
      <c r="H148" s="23" t="n">
        <v>14.83</v>
      </c>
      <c r="I148" s="22" t="s">
        <v>387</v>
      </c>
    </row>
    <row r="149" customFormat="false" ht="15" hidden="false" customHeight="false" outlineLevel="0" collapsed="false">
      <c r="A149" s="0" t="s">
        <v>96</v>
      </c>
      <c r="B149" s="0" t="s">
        <v>97</v>
      </c>
      <c r="C149" s="0" t="s">
        <v>98</v>
      </c>
      <c r="D149" s="4" t="n">
        <v>46007</v>
      </c>
      <c r="E149" s="5" t="s">
        <v>22</v>
      </c>
      <c r="F149" s="14" t="n">
        <v>17.79</v>
      </c>
      <c r="G149" s="0" t="n">
        <v>4</v>
      </c>
      <c r="H149" s="6" t="n">
        <v>71.16</v>
      </c>
    </row>
    <row r="150" customFormat="false" ht="15" hidden="false" customHeight="false" outlineLevel="0" collapsed="false">
      <c r="A150" s="0" t="s">
        <v>96</v>
      </c>
      <c r="B150" s="0" t="s">
        <v>97</v>
      </c>
      <c r="C150" s="0" t="s">
        <v>98</v>
      </c>
      <c r="D150" s="4" t="n">
        <v>46083</v>
      </c>
      <c r="E150" s="5" t="s">
        <v>26</v>
      </c>
      <c r="F150" s="14" t="n">
        <v>17.79</v>
      </c>
      <c r="G150" s="0" t="n">
        <v>4</v>
      </c>
      <c r="H150" s="6" t="n">
        <v>71.16</v>
      </c>
    </row>
    <row r="151" customFormat="false" ht="15" hidden="false" customHeight="false" outlineLevel="0" collapsed="false">
      <c r="A151" s="0" t="s">
        <v>96</v>
      </c>
      <c r="B151" s="0" t="s">
        <v>97</v>
      </c>
      <c r="C151" s="0" t="s">
        <v>98</v>
      </c>
      <c r="D151" s="4" t="n">
        <v>46097</v>
      </c>
      <c r="E151" s="5" t="s">
        <v>27</v>
      </c>
      <c r="F151" s="14" t="n">
        <v>17.96</v>
      </c>
      <c r="G151" s="0" t="n">
        <v>8</v>
      </c>
      <c r="H151" s="6" t="n">
        <v>143.68</v>
      </c>
    </row>
    <row r="152" customFormat="false" ht="15" hidden="false" customHeight="false" outlineLevel="0" collapsed="false">
      <c r="A152" s="0" t="s">
        <v>96</v>
      </c>
      <c r="B152" s="0" t="s">
        <v>97</v>
      </c>
      <c r="C152" s="0" t="s">
        <v>98</v>
      </c>
      <c r="D152" s="4" t="n">
        <v>46147</v>
      </c>
      <c r="E152" s="5" t="s">
        <v>32</v>
      </c>
      <c r="F152" s="14" t="n">
        <v>20.28</v>
      </c>
      <c r="G152" s="0" t="n">
        <v>2</v>
      </c>
      <c r="H152" s="6" t="n">
        <v>40.56</v>
      </c>
    </row>
    <row r="153" customFormat="false" ht="15" hidden="false" customHeight="false" outlineLevel="0" collapsed="false">
      <c r="A153" s="0" t="s">
        <v>242</v>
      </c>
      <c r="B153" s="0" t="s">
        <v>243</v>
      </c>
      <c r="C153" s="0" t="s">
        <v>98</v>
      </c>
      <c r="D153" s="4" t="n">
        <v>45979</v>
      </c>
      <c r="E153" s="5" t="s">
        <v>13</v>
      </c>
      <c r="F153" s="14" t="n">
        <v>7.5</v>
      </c>
      <c r="G153" s="0" t="n">
        <v>1</v>
      </c>
      <c r="H153" s="6" t="n">
        <v>7.5</v>
      </c>
    </row>
    <row r="154" customFormat="false" ht="15" hidden="false" customHeight="false" outlineLevel="0" collapsed="false">
      <c r="A154" s="0" t="s">
        <v>242</v>
      </c>
      <c r="B154" s="0" t="s">
        <v>243</v>
      </c>
      <c r="C154" s="0" t="s">
        <v>98</v>
      </c>
      <c r="D154" s="4" t="n">
        <v>46000</v>
      </c>
      <c r="E154" s="5" t="s">
        <v>19</v>
      </c>
      <c r="F154" s="14" t="n">
        <v>7.5</v>
      </c>
      <c r="G154" s="0" t="n">
        <v>1</v>
      </c>
      <c r="H154" s="6" t="n">
        <v>7.5</v>
      </c>
    </row>
    <row r="155" customFormat="false" ht="15" hidden="false" customHeight="false" outlineLevel="0" collapsed="false">
      <c r="A155" s="0" t="s">
        <v>244</v>
      </c>
      <c r="B155" s="0" t="s">
        <v>245</v>
      </c>
      <c r="C155" s="0" t="s">
        <v>98</v>
      </c>
      <c r="D155" s="4" t="n">
        <v>45986</v>
      </c>
      <c r="E155" s="5" t="s">
        <v>15</v>
      </c>
      <c r="F155" s="14" t="n">
        <v>2.32</v>
      </c>
      <c r="G155" s="0" t="n">
        <v>2</v>
      </c>
      <c r="H155" s="6" t="n">
        <v>4.64</v>
      </c>
    </row>
    <row r="156" customFormat="false" ht="15" hidden="false" customHeight="false" outlineLevel="0" collapsed="false">
      <c r="A156" s="0" t="s">
        <v>246</v>
      </c>
      <c r="B156" s="0" t="s">
        <v>247</v>
      </c>
      <c r="C156" s="0" t="s">
        <v>98</v>
      </c>
      <c r="D156" s="4" t="n">
        <v>45986</v>
      </c>
      <c r="E156" s="5" t="s">
        <v>15</v>
      </c>
      <c r="F156" s="14" t="n">
        <v>8.84</v>
      </c>
      <c r="G156" s="0" t="n">
        <v>1</v>
      </c>
      <c r="H156" s="6" t="n">
        <v>8.84</v>
      </c>
    </row>
    <row r="157" customFormat="false" ht="15" hidden="false" customHeight="false" outlineLevel="0" collapsed="false">
      <c r="A157" s="0" t="s">
        <v>248</v>
      </c>
      <c r="B157" s="0" t="s">
        <v>249</v>
      </c>
      <c r="C157" s="0" t="s">
        <v>98</v>
      </c>
      <c r="D157" s="4" t="n">
        <v>45986</v>
      </c>
      <c r="E157" s="5" t="s">
        <v>15</v>
      </c>
      <c r="F157" s="14" t="n">
        <v>8.84</v>
      </c>
      <c r="G157" s="0" t="n">
        <v>1</v>
      </c>
      <c r="H157" s="6" t="n">
        <v>8.84</v>
      </c>
    </row>
    <row r="158" customFormat="false" ht="15" hidden="false" customHeight="false" outlineLevel="0" collapsed="false">
      <c r="A158" s="0" t="s">
        <v>250</v>
      </c>
      <c r="B158" s="0" t="s">
        <v>251</v>
      </c>
      <c r="C158" s="0" t="s">
        <v>98</v>
      </c>
      <c r="D158" s="4" t="n">
        <v>45986</v>
      </c>
      <c r="E158" s="5" t="s">
        <v>15</v>
      </c>
      <c r="F158" s="14" t="n">
        <v>7.34</v>
      </c>
      <c r="G158" s="0" t="n">
        <v>1</v>
      </c>
      <c r="H158" s="6" t="n">
        <v>7.34</v>
      </c>
    </row>
    <row r="159" customFormat="false" ht="15" hidden="false" customHeight="false" outlineLevel="0" collapsed="false">
      <c r="A159" s="0" t="s">
        <v>252</v>
      </c>
      <c r="B159" s="0" t="s">
        <v>253</v>
      </c>
      <c r="C159" s="0" t="s">
        <v>98</v>
      </c>
      <c r="D159" s="4" t="n">
        <v>45986</v>
      </c>
      <c r="E159" s="5" t="s">
        <v>15</v>
      </c>
      <c r="F159" s="14" t="n">
        <v>2.57</v>
      </c>
      <c r="G159" s="0" t="n">
        <v>2</v>
      </c>
      <c r="H159" s="6" t="n">
        <v>5.14</v>
      </c>
    </row>
    <row r="160" customFormat="false" ht="15" hidden="false" customHeight="false" outlineLevel="0" collapsed="false">
      <c r="A160" s="22" t="s">
        <v>254</v>
      </c>
      <c r="B160" s="22" t="s">
        <v>255</v>
      </c>
      <c r="C160" s="22" t="s">
        <v>98</v>
      </c>
      <c r="D160" s="21" t="n">
        <v>46125</v>
      </c>
      <c r="E160" s="22" t="s">
        <v>31</v>
      </c>
      <c r="F160" s="16" t="n">
        <v>24.57</v>
      </c>
      <c r="G160" s="22" t="n">
        <v>1</v>
      </c>
      <c r="H160" s="23" t="n">
        <v>24.57</v>
      </c>
      <c r="I160" s="22" t="s">
        <v>387</v>
      </c>
    </row>
    <row r="161" customFormat="false" ht="15" hidden="false" customHeight="false" outlineLevel="0" collapsed="false">
      <c r="A161" s="0" t="s">
        <v>256</v>
      </c>
      <c r="B161" s="0" t="s">
        <v>257</v>
      </c>
      <c r="C161" s="0" t="s">
        <v>98</v>
      </c>
      <c r="D161" s="4" t="n">
        <v>45986</v>
      </c>
      <c r="E161" s="5" t="s">
        <v>15</v>
      </c>
      <c r="F161" s="14" t="n">
        <v>17.65</v>
      </c>
      <c r="G161" s="0" t="n">
        <v>1</v>
      </c>
      <c r="H161" s="6" t="n">
        <v>17.65</v>
      </c>
    </row>
    <row r="162" customFormat="false" ht="15" hidden="false" customHeight="false" outlineLevel="0" collapsed="false">
      <c r="A162" s="0" t="s">
        <v>258</v>
      </c>
      <c r="B162" s="0" t="s">
        <v>259</v>
      </c>
      <c r="C162" s="0" t="s">
        <v>98</v>
      </c>
      <c r="D162" s="4" t="n">
        <v>45986</v>
      </c>
      <c r="E162" s="5" t="s">
        <v>15</v>
      </c>
      <c r="F162" s="14" t="n">
        <v>9.66</v>
      </c>
      <c r="G162" s="0" t="n">
        <v>1</v>
      </c>
      <c r="H162" s="6" t="n">
        <v>9.66</v>
      </c>
    </row>
    <row r="163" customFormat="false" ht="15" hidden="false" customHeight="false" outlineLevel="0" collapsed="false">
      <c r="A163" s="0" t="s">
        <v>176</v>
      </c>
      <c r="B163" s="0" t="s">
        <v>177</v>
      </c>
      <c r="C163" s="0" t="s">
        <v>98</v>
      </c>
      <c r="D163" s="4" t="n">
        <v>45967</v>
      </c>
      <c r="E163" s="5" t="s">
        <v>11</v>
      </c>
      <c r="F163" s="14" t="n">
        <v>9.93</v>
      </c>
      <c r="G163" s="0" t="n">
        <v>3</v>
      </c>
      <c r="H163" s="6" t="n">
        <v>29.79</v>
      </c>
    </row>
    <row r="164" customFormat="false" ht="15" hidden="false" customHeight="false" outlineLevel="0" collapsed="false">
      <c r="A164" s="0" t="s">
        <v>176</v>
      </c>
      <c r="B164" s="0" t="s">
        <v>177</v>
      </c>
      <c r="C164" s="0" t="s">
        <v>98</v>
      </c>
      <c r="D164" s="4" t="n">
        <v>46147</v>
      </c>
      <c r="E164" s="5" t="s">
        <v>32</v>
      </c>
      <c r="F164" s="14" t="n">
        <v>11.33</v>
      </c>
      <c r="G164" s="0" t="n">
        <v>1</v>
      </c>
      <c r="H164" s="6" t="n">
        <v>11.33</v>
      </c>
    </row>
    <row r="165" customFormat="false" ht="15" hidden="false" customHeight="false" outlineLevel="0" collapsed="false">
      <c r="A165" s="0" t="s">
        <v>132</v>
      </c>
      <c r="B165" s="0" t="s">
        <v>133</v>
      </c>
      <c r="C165" s="0" t="s">
        <v>98</v>
      </c>
      <c r="D165" s="4" t="n">
        <v>45967</v>
      </c>
      <c r="E165" s="5" t="s">
        <v>11</v>
      </c>
      <c r="F165" s="14" t="n">
        <v>5.38</v>
      </c>
      <c r="G165" s="0" t="n">
        <v>2</v>
      </c>
      <c r="H165" s="6" t="n">
        <v>10.76</v>
      </c>
    </row>
    <row r="166" customFormat="false" ht="15" hidden="false" customHeight="false" outlineLevel="0" collapsed="false">
      <c r="A166" s="22" t="s">
        <v>132</v>
      </c>
      <c r="B166" s="22" t="s">
        <v>133</v>
      </c>
      <c r="C166" s="22" t="s">
        <v>98</v>
      </c>
      <c r="D166" s="21" t="n">
        <v>45979</v>
      </c>
      <c r="E166" s="22" t="s">
        <v>13</v>
      </c>
      <c r="F166" s="16" t="n">
        <v>5.27</v>
      </c>
      <c r="G166" s="22" t="n">
        <v>2</v>
      </c>
      <c r="H166" s="23" t="n">
        <v>10.54</v>
      </c>
      <c r="I166" s="22" t="s">
        <v>387</v>
      </c>
    </row>
    <row r="167" customFormat="false" ht="15" hidden="false" customHeight="false" outlineLevel="0" collapsed="false">
      <c r="A167" s="22" t="s">
        <v>132</v>
      </c>
      <c r="B167" s="22" t="s">
        <v>133</v>
      </c>
      <c r="C167" s="22" t="s">
        <v>98</v>
      </c>
      <c r="D167" s="21" t="n">
        <v>46007</v>
      </c>
      <c r="E167" s="22" t="s">
        <v>22</v>
      </c>
      <c r="F167" s="16" t="n">
        <v>5.27</v>
      </c>
      <c r="G167" s="22" t="n">
        <v>1</v>
      </c>
      <c r="H167" s="23" t="n">
        <v>5.27</v>
      </c>
      <c r="I167" s="22" t="s">
        <v>387</v>
      </c>
    </row>
    <row r="168" customFormat="false" ht="15" hidden="false" customHeight="false" outlineLevel="0" collapsed="false">
      <c r="A168" s="0" t="s">
        <v>132</v>
      </c>
      <c r="B168" s="0" t="s">
        <v>133</v>
      </c>
      <c r="C168" s="0" t="s">
        <v>98</v>
      </c>
      <c r="D168" s="4" t="n">
        <v>46147</v>
      </c>
      <c r="E168" s="5" t="s">
        <v>32</v>
      </c>
      <c r="F168" s="14" t="n">
        <v>6.73</v>
      </c>
      <c r="G168" s="0" t="n">
        <v>2</v>
      </c>
      <c r="H168" s="6" t="n">
        <v>13.46</v>
      </c>
    </row>
    <row r="169" customFormat="false" ht="15" hidden="false" customHeight="false" outlineLevel="0" collapsed="false">
      <c r="A169" s="0" t="s">
        <v>260</v>
      </c>
      <c r="B169" s="0" t="s">
        <v>261</v>
      </c>
      <c r="C169" s="0" t="s">
        <v>98</v>
      </c>
      <c r="D169" s="4" t="n">
        <v>45967</v>
      </c>
      <c r="E169" s="5" t="s">
        <v>11</v>
      </c>
      <c r="F169" s="14" t="n">
        <v>8.34</v>
      </c>
      <c r="G169" s="0" t="n">
        <v>8</v>
      </c>
      <c r="H169" s="6" t="n">
        <v>66.72</v>
      </c>
    </row>
    <row r="170" customFormat="false" ht="15" hidden="false" customHeight="false" outlineLevel="0" collapsed="false">
      <c r="A170" s="0" t="s">
        <v>262</v>
      </c>
      <c r="B170" s="0" t="s">
        <v>263</v>
      </c>
      <c r="C170" s="0" t="s">
        <v>98</v>
      </c>
      <c r="D170" s="4" t="n">
        <v>45967</v>
      </c>
      <c r="E170" s="5" t="s">
        <v>11</v>
      </c>
      <c r="F170" s="14" t="n">
        <v>8.95</v>
      </c>
      <c r="G170" s="0" t="n">
        <v>2</v>
      </c>
      <c r="H170" s="6" t="n">
        <v>17.9</v>
      </c>
    </row>
    <row r="171" customFormat="false" ht="15" hidden="false" customHeight="false" outlineLevel="0" collapsed="false">
      <c r="A171" s="0" t="s">
        <v>262</v>
      </c>
      <c r="B171" s="0" t="s">
        <v>263</v>
      </c>
      <c r="C171" s="0" t="s">
        <v>98</v>
      </c>
      <c r="D171" s="4" t="n">
        <v>46083</v>
      </c>
      <c r="E171" s="5" t="s">
        <v>26</v>
      </c>
      <c r="F171" s="14" t="n">
        <v>8.95</v>
      </c>
      <c r="G171" s="0" t="n">
        <v>2</v>
      </c>
      <c r="H171" s="6" t="n">
        <v>17.9</v>
      </c>
    </row>
    <row r="172" customFormat="false" ht="15" hidden="false" customHeight="false" outlineLevel="0" collapsed="false">
      <c r="A172" s="0" t="s">
        <v>264</v>
      </c>
      <c r="B172" s="0" t="s">
        <v>265</v>
      </c>
      <c r="C172" s="0" t="s">
        <v>98</v>
      </c>
      <c r="D172" s="4" t="n">
        <v>45979</v>
      </c>
      <c r="E172" s="5" t="s">
        <v>13</v>
      </c>
      <c r="F172" s="14" t="n">
        <v>19.7</v>
      </c>
      <c r="G172" s="0" t="n">
        <v>1</v>
      </c>
      <c r="H172" s="6" t="n">
        <v>19.7</v>
      </c>
    </row>
    <row r="173" customFormat="false" ht="15" hidden="false" customHeight="false" outlineLevel="0" collapsed="false">
      <c r="A173" s="0" t="s">
        <v>266</v>
      </c>
      <c r="B173" s="0" t="s">
        <v>267</v>
      </c>
      <c r="C173" s="0" t="s">
        <v>98</v>
      </c>
      <c r="D173" s="4" t="n">
        <v>46002</v>
      </c>
      <c r="E173" s="5" t="s">
        <v>20</v>
      </c>
      <c r="F173" s="14" t="n">
        <v>7.74</v>
      </c>
      <c r="G173" s="0" t="n">
        <v>1</v>
      </c>
      <c r="H173" s="6" t="n">
        <v>7.74</v>
      </c>
    </row>
    <row r="174" customFormat="false" ht="15" hidden="false" customHeight="false" outlineLevel="0" collapsed="false">
      <c r="A174" s="0" t="s">
        <v>268</v>
      </c>
      <c r="B174" s="0" t="s">
        <v>269</v>
      </c>
      <c r="C174" s="0" t="s">
        <v>98</v>
      </c>
      <c r="D174" s="4" t="n">
        <v>46002</v>
      </c>
      <c r="E174" s="5" t="s">
        <v>20</v>
      </c>
      <c r="F174" s="14" t="n">
        <v>5.44</v>
      </c>
      <c r="G174" s="0" t="n">
        <v>1</v>
      </c>
      <c r="H174" s="6" t="n">
        <v>5.44</v>
      </c>
    </row>
    <row r="175" customFormat="false" ht="15" hidden="false" customHeight="false" outlineLevel="0" collapsed="false">
      <c r="A175" s="0" t="s">
        <v>178</v>
      </c>
      <c r="B175" s="0" t="s">
        <v>179</v>
      </c>
      <c r="C175" s="0" t="s">
        <v>98</v>
      </c>
      <c r="D175" s="4" t="n">
        <v>45979</v>
      </c>
      <c r="E175" s="5" t="s">
        <v>13</v>
      </c>
      <c r="F175" s="14" t="n">
        <v>17.36</v>
      </c>
      <c r="G175" s="0" t="n">
        <v>1</v>
      </c>
      <c r="H175" s="6" t="n">
        <v>17.36</v>
      </c>
    </row>
    <row r="176" customFormat="false" ht="15" hidden="false" customHeight="false" outlineLevel="0" collapsed="false">
      <c r="A176" s="0" t="s">
        <v>178</v>
      </c>
      <c r="B176" s="0" t="s">
        <v>179</v>
      </c>
      <c r="C176" s="0" t="s">
        <v>98</v>
      </c>
      <c r="D176" s="4" t="n">
        <v>46007</v>
      </c>
      <c r="E176" s="5" t="s">
        <v>22</v>
      </c>
      <c r="F176" s="14" t="n">
        <v>17.36</v>
      </c>
      <c r="G176" s="0" t="n">
        <v>2</v>
      </c>
      <c r="H176" s="6" t="n">
        <v>34.72</v>
      </c>
    </row>
    <row r="177" customFormat="false" ht="15" hidden="false" customHeight="false" outlineLevel="0" collapsed="false">
      <c r="A177" s="0" t="s">
        <v>178</v>
      </c>
      <c r="B177" s="0" t="s">
        <v>179</v>
      </c>
      <c r="C177" s="0" t="s">
        <v>98</v>
      </c>
      <c r="D177" s="4" t="n">
        <v>46097</v>
      </c>
      <c r="E177" s="5" t="s">
        <v>27</v>
      </c>
      <c r="F177" s="14" t="n">
        <v>17.53</v>
      </c>
      <c r="G177" s="0" t="n">
        <v>1</v>
      </c>
      <c r="H177" s="6" t="n">
        <v>17.53</v>
      </c>
    </row>
    <row r="178" customFormat="false" ht="15" hidden="false" customHeight="false" outlineLevel="0" collapsed="false">
      <c r="A178" s="0" t="s">
        <v>270</v>
      </c>
      <c r="B178" s="0" t="s">
        <v>271</v>
      </c>
      <c r="C178" s="0" t="s">
        <v>98</v>
      </c>
      <c r="D178" s="4" t="n">
        <v>45986</v>
      </c>
      <c r="E178" s="5" t="s">
        <v>15</v>
      </c>
      <c r="F178" s="14" t="n">
        <v>3.13</v>
      </c>
      <c r="G178" s="0" t="n">
        <v>1</v>
      </c>
      <c r="H178" s="6" t="n">
        <v>3.13</v>
      </c>
    </row>
    <row r="179" customFormat="false" ht="15" hidden="false" customHeight="false" outlineLevel="0" collapsed="false">
      <c r="A179" s="0" t="s">
        <v>272</v>
      </c>
      <c r="B179" s="0" t="s">
        <v>273</v>
      </c>
      <c r="C179" s="0" t="s">
        <v>182</v>
      </c>
      <c r="D179" s="4" t="n">
        <v>46038</v>
      </c>
      <c r="E179" s="5" t="s">
        <v>24</v>
      </c>
      <c r="F179" s="14" t="n">
        <v>22.22</v>
      </c>
      <c r="G179" s="0" t="n">
        <v>1</v>
      </c>
      <c r="H179" s="6" t="n">
        <v>22.22</v>
      </c>
    </row>
    <row r="180" customFormat="false" ht="15" hidden="false" customHeight="false" outlineLevel="0" collapsed="false">
      <c r="A180" s="0" t="s">
        <v>180</v>
      </c>
      <c r="B180" s="0" t="s">
        <v>181</v>
      </c>
      <c r="C180" s="0" t="s">
        <v>182</v>
      </c>
      <c r="D180" s="4" t="n">
        <v>46002</v>
      </c>
      <c r="E180" s="5" t="s">
        <v>20</v>
      </c>
      <c r="F180" s="14" t="n">
        <v>8.64</v>
      </c>
      <c r="G180" s="0" t="n">
        <v>1</v>
      </c>
      <c r="H180" s="6" t="n">
        <v>8.64</v>
      </c>
    </row>
    <row r="181" customFormat="false" ht="15" hidden="false" customHeight="false" outlineLevel="0" collapsed="false">
      <c r="A181" s="0" t="s">
        <v>180</v>
      </c>
      <c r="B181" s="0" t="s">
        <v>181</v>
      </c>
      <c r="C181" s="0" t="s">
        <v>182</v>
      </c>
      <c r="D181" s="4" t="n">
        <v>46038</v>
      </c>
      <c r="E181" s="5" t="s">
        <v>24</v>
      </c>
      <c r="F181" s="14" t="n">
        <v>8.65</v>
      </c>
      <c r="G181" s="0" t="n">
        <v>2</v>
      </c>
      <c r="H181" s="6" t="n">
        <v>17.3</v>
      </c>
    </row>
    <row r="182" customFormat="false" ht="15" hidden="false" customHeight="false" outlineLevel="0" collapsed="false">
      <c r="A182" s="0" t="s">
        <v>274</v>
      </c>
      <c r="B182" s="0" t="s">
        <v>275</v>
      </c>
      <c r="C182" s="0" t="s">
        <v>182</v>
      </c>
      <c r="D182" s="4" t="n">
        <v>46002</v>
      </c>
      <c r="E182" s="5" t="s">
        <v>20</v>
      </c>
      <c r="F182" s="14" t="n">
        <v>12.47</v>
      </c>
      <c r="G182" s="0" t="n">
        <v>1</v>
      </c>
      <c r="H182" s="6" t="n">
        <v>12.47</v>
      </c>
    </row>
    <row r="183" customFormat="false" ht="15" hidden="false" customHeight="false" outlineLevel="0" collapsed="false">
      <c r="A183" s="0" t="s">
        <v>276</v>
      </c>
      <c r="B183" s="0" t="s">
        <v>277</v>
      </c>
      <c r="C183" s="0" t="s">
        <v>182</v>
      </c>
      <c r="D183" s="4" t="n">
        <v>46002</v>
      </c>
      <c r="E183" s="5" t="s">
        <v>20</v>
      </c>
      <c r="F183" s="14" t="n">
        <v>5.49</v>
      </c>
      <c r="G183" s="0" t="n">
        <v>5</v>
      </c>
      <c r="H183" s="6" t="n">
        <v>27.45</v>
      </c>
    </row>
    <row r="184" customFormat="false" ht="15" hidden="false" customHeight="false" outlineLevel="0" collapsed="false">
      <c r="A184" s="0" t="s">
        <v>278</v>
      </c>
      <c r="B184" s="0" t="s">
        <v>279</v>
      </c>
      <c r="C184" s="0" t="s">
        <v>280</v>
      </c>
      <c r="D184" s="4" t="n">
        <v>46037</v>
      </c>
      <c r="E184" s="5" t="s">
        <v>23</v>
      </c>
      <c r="F184" s="14" t="n">
        <v>0.99</v>
      </c>
      <c r="G184" s="0" t="n">
        <v>7</v>
      </c>
      <c r="H184" s="6" t="n">
        <v>6.93</v>
      </c>
    </row>
    <row r="185" customFormat="false" ht="15" hidden="false" customHeight="false" outlineLevel="0" collapsed="false">
      <c r="A185" s="0" t="s">
        <v>281</v>
      </c>
      <c r="B185" s="0" t="s">
        <v>282</v>
      </c>
      <c r="C185" s="0" t="s">
        <v>280</v>
      </c>
      <c r="D185" s="4" t="n">
        <v>46002</v>
      </c>
      <c r="E185" s="5" t="s">
        <v>20</v>
      </c>
      <c r="F185" s="14" t="n">
        <v>8.23</v>
      </c>
      <c r="G185" s="0" t="n">
        <v>1</v>
      </c>
      <c r="H185" s="6" t="n">
        <v>8.23</v>
      </c>
    </row>
    <row r="186" customFormat="false" ht="15" hidden="false" customHeight="false" outlineLevel="0" collapsed="false">
      <c r="A186" s="0" t="s">
        <v>283</v>
      </c>
      <c r="B186" s="0" t="s">
        <v>284</v>
      </c>
      <c r="C186" s="0" t="s">
        <v>280</v>
      </c>
      <c r="D186" s="4" t="n">
        <v>46002</v>
      </c>
      <c r="E186" s="5" t="s">
        <v>20</v>
      </c>
      <c r="F186" s="14" t="n">
        <v>4.38</v>
      </c>
      <c r="G186" s="0" t="n">
        <v>1</v>
      </c>
      <c r="H186" s="6" t="n">
        <v>4.38</v>
      </c>
    </row>
    <row r="187" customFormat="false" ht="15" hidden="false" customHeight="false" outlineLevel="0" collapsed="false">
      <c r="A187" s="0" t="s">
        <v>285</v>
      </c>
      <c r="B187" s="0" t="s">
        <v>286</v>
      </c>
      <c r="C187" s="0" t="s">
        <v>280</v>
      </c>
      <c r="D187" s="4" t="n">
        <v>46037</v>
      </c>
      <c r="E187" s="5" t="s">
        <v>23</v>
      </c>
      <c r="F187" s="14" t="n">
        <v>2.49</v>
      </c>
      <c r="G187" s="0" t="n">
        <v>5</v>
      </c>
      <c r="H187" s="6" t="n">
        <v>12.45</v>
      </c>
    </row>
    <row r="188" customFormat="false" ht="15" hidden="false" customHeight="false" outlineLevel="0" collapsed="false">
      <c r="A188" s="0" t="s">
        <v>287</v>
      </c>
      <c r="B188" s="0" t="s">
        <v>288</v>
      </c>
      <c r="C188" s="0" t="s">
        <v>289</v>
      </c>
      <c r="D188" s="4" t="n">
        <v>46007</v>
      </c>
      <c r="E188" s="5" t="s">
        <v>21</v>
      </c>
      <c r="F188" s="14" t="n">
        <v>4.04</v>
      </c>
      <c r="G188" s="0" t="n">
        <v>1</v>
      </c>
      <c r="H188" s="6" t="n">
        <v>4.04</v>
      </c>
    </row>
    <row r="189" customFormat="false" ht="15" hidden="false" customHeight="false" outlineLevel="0" collapsed="false">
      <c r="A189" s="0" t="s">
        <v>290</v>
      </c>
      <c r="B189" s="0" t="s">
        <v>291</v>
      </c>
      <c r="C189" s="0" t="s">
        <v>289</v>
      </c>
      <c r="D189" s="4" t="n">
        <v>46007</v>
      </c>
      <c r="E189" s="5" t="s">
        <v>21</v>
      </c>
      <c r="F189" s="14" t="n">
        <v>3.47</v>
      </c>
      <c r="G189" s="0" t="n">
        <v>1</v>
      </c>
      <c r="H189" s="6" t="n">
        <v>3.47</v>
      </c>
    </row>
    <row r="190" customFormat="false" ht="15" hidden="false" customHeight="false" outlineLevel="0" collapsed="false">
      <c r="A190" s="0" t="s">
        <v>292</v>
      </c>
      <c r="B190" s="0" t="s">
        <v>293</v>
      </c>
      <c r="C190" s="0" t="s">
        <v>289</v>
      </c>
      <c r="D190" s="4" t="n">
        <v>46002</v>
      </c>
      <c r="E190" s="5" t="s">
        <v>20</v>
      </c>
      <c r="F190" s="14" t="n">
        <v>7.05</v>
      </c>
      <c r="G190" s="0" t="n">
        <v>1</v>
      </c>
      <c r="H190" s="6" t="n">
        <v>7.05</v>
      </c>
    </row>
    <row r="191" customFormat="false" ht="15" hidden="false" customHeight="false" outlineLevel="0" collapsed="false">
      <c r="A191" s="0" t="s">
        <v>292</v>
      </c>
      <c r="B191" s="0" t="s">
        <v>293</v>
      </c>
      <c r="C191" s="0" t="s">
        <v>289</v>
      </c>
      <c r="D191" s="4" t="n">
        <v>46007</v>
      </c>
      <c r="E191" s="5" t="s">
        <v>21</v>
      </c>
      <c r="F191" s="14" t="n">
        <v>7.05</v>
      </c>
      <c r="G191" s="0" t="n">
        <v>1</v>
      </c>
      <c r="H191" s="6" t="n">
        <v>7.05</v>
      </c>
    </row>
    <row r="192" customFormat="false" ht="15" hidden="false" customHeight="false" outlineLevel="0" collapsed="false">
      <c r="A192" s="0" t="s">
        <v>292</v>
      </c>
      <c r="B192" s="0" t="s">
        <v>293</v>
      </c>
      <c r="C192" s="0" t="s">
        <v>289</v>
      </c>
      <c r="D192" s="4" t="n">
        <v>46037</v>
      </c>
      <c r="E192" s="5" t="s">
        <v>23</v>
      </c>
      <c r="F192" s="14" t="n">
        <v>7.05</v>
      </c>
      <c r="G192" s="0" t="n">
        <v>2</v>
      </c>
      <c r="H192" s="6" t="n">
        <v>14.1</v>
      </c>
    </row>
    <row r="193" customFormat="false" ht="15" hidden="false" customHeight="false" outlineLevel="0" collapsed="false">
      <c r="A193" s="0" t="s">
        <v>294</v>
      </c>
      <c r="B193" s="0" t="s">
        <v>295</v>
      </c>
      <c r="C193" s="0" t="s">
        <v>289</v>
      </c>
      <c r="D193" s="4" t="n">
        <v>46002</v>
      </c>
      <c r="E193" s="5" t="s">
        <v>20</v>
      </c>
      <c r="F193" s="14" t="n">
        <v>4.2</v>
      </c>
      <c r="G193" s="0" t="n">
        <v>1</v>
      </c>
      <c r="H193" s="6" t="n">
        <v>4.2</v>
      </c>
    </row>
    <row r="194" customFormat="false" ht="15" hidden="false" customHeight="false" outlineLevel="0" collapsed="false">
      <c r="A194" s="0" t="s">
        <v>296</v>
      </c>
      <c r="B194" s="0" t="s">
        <v>297</v>
      </c>
      <c r="C194" s="0" t="s">
        <v>289</v>
      </c>
      <c r="D194" s="4" t="n">
        <v>46037</v>
      </c>
      <c r="E194" s="5" t="s">
        <v>23</v>
      </c>
      <c r="F194" s="14" t="n">
        <v>6.3</v>
      </c>
      <c r="G194" s="0" t="n">
        <v>4</v>
      </c>
      <c r="H194" s="6" t="n">
        <v>25.2</v>
      </c>
    </row>
    <row r="195" customFormat="false" ht="15" hidden="false" customHeight="false" outlineLevel="0" collapsed="false">
      <c r="A195" s="0" t="s">
        <v>298</v>
      </c>
      <c r="B195" s="0" t="s">
        <v>299</v>
      </c>
      <c r="C195" s="0" t="s">
        <v>289</v>
      </c>
      <c r="D195" s="4" t="n">
        <v>46007</v>
      </c>
      <c r="E195" s="5" t="s">
        <v>21</v>
      </c>
      <c r="F195" s="14" t="n">
        <v>40.79</v>
      </c>
      <c r="G195" s="0" t="n">
        <v>1</v>
      </c>
      <c r="H195" s="6" t="n">
        <v>40.79</v>
      </c>
    </row>
    <row r="196" customFormat="false" ht="15" hidden="false" customHeight="false" outlineLevel="0" collapsed="false">
      <c r="A196" s="0" t="s">
        <v>300</v>
      </c>
      <c r="B196" s="0" t="s">
        <v>301</v>
      </c>
      <c r="C196" s="0" t="s">
        <v>289</v>
      </c>
      <c r="D196" s="4" t="n">
        <v>46002</v>
      </c>
      <c r="E196" s="5" t="s">
        <v>20</v>
      </c>
      <c r="F196" s="14" t="n">
        <v>2.17</v>
      </c>
      <c r="G196" s="0" t="n">
        <v>2</v>
      </c>
      <c r="H196" s="6" t="n">
        <v>4.34</v>
      </c>
    </row>
    <row r="197" customFormat="false" ht="15" hidden="false" customHeight="false" outlineLevel="0" collapsed="false">
      <c r="A197" s="0" t="s">
        <v>302</v>
      </c>
      <c r="B197" s="0" t="s">
        <v>303</v>
      </c>
      <c r="C197" s="0" t="s">
        <v>289</v>
      </c>
      <c r="D197" s="4" t="n">
        <v>46007</v>
      </c>
      <c r="E197" s="5" t="s">
        <v>21</v>
      </c>
      <c r="F197" s="14" t="n">
        <v>8.72</v>
      </c>
      <c r="G197" s="0" t="n">
        <v>1</v>
      </c>
      <c r="H197" s="6" t="n">
        <v>8.72</v>
      </c>
    </row>
    <row r="198" customFormat="false" ht="15" hidden="false" customHeight="false" outlineLevel="0" collapsed="false">
      <c r="A198" s="0" t="s">
        <v>183</v>
      </c>
      <c r="B198" s="0" t="s">
        <v>184</v>
      </c>
      <c r="C198" s="0" t="s">
        <v>185</v>
      </c>
      <c r="D198" s="4" t="n">
        <v>46002</v>
      </c>
      <c r="E198" s="5" t="s">
        <v>20</v>
      </c>
      <c r="F198" s="14" t="n">
        <v>11.64</v>
      </c>
      <c r="G198" s="0" t="n">
        <v>6</v>
      </c>
      <c r="H198" s="6" t="n">
        <v>69.84</v>
      </c>
    </row>
    <row r="199" customFormat="false" ht="15" hidden="false" customHeight="false" outlineLevel="0" collapsed="false">
      <c r="A199" s="0" t="s">
        <v>183</v>
      </c>
      <c r="B199" s="0" t="s">
        <v>184</v>
      </c>
      <c r="C199" s="0" t="s">
        <v>185</v>
      </c>
      <c r="D199" s="4" t="n">
        <v>46007</v>
      </c>
      <c r="E199" s="5" t="s">
        <v>21</v>
      </c>
      <c r="F199" s="14" t="n">
        <v>11.64</v>
      </c>
      <c r="G199" s="0" t="n">
        <v>1</v>
      </c>
      <c r="H199" s="6" t="n">
        <v>11.64</v>
      </c>
    </row>
    <row r="200" customFormat="false" ht="15" hidden="false" customHeight="false" outlineLevel="0" collapsed="false">
      <c r="A200" s="0" t="s">
        <v>183</v>
      </c>
      <c r="B200" s="0" t="s">
        <v>184</v>
      </c>
      <c r="C200" s="0" t="s">
        <v>185</v>
      </c>
      <c r="D200" s="4" t="n">
        <v>46007</v>
      </c>
      <c r="E200" s="5" t="s">
        <v>21</v>
      </c>
      <c r="F200" s="14" t="n">
        <v>11.64</v>
      </c>
      <c r="G200" s="0" t="n">
        <v>1</v>
      </c>
      <c r="H200" s="6" t="n">
        <v>11.64</v>
      </c>
    </row>
    <row r="201" customFormat="false" ht="15" hidden="false" customHeight="false" outlineLevel="0" collapsed="false">
      <c r="A201" s="0" t="s">
        <v>183</v>
      </c>
      <c r="B201" s="0" t="s">
        <v>184</v>
      </c>
      <c r="C201" s="0" t="s">
        <v>185</v>
      </c>
      <c r="D201" s="4" t="n">
        <v>46007</v>
      </c>
      <c r="E201" s="5" t="s">
        <v>21</v>
      </c>
      <c r="F201" s="14" t="n">
        <v>11.64</v>
      </c>
      <c r="G201" s="0" t="n">
        <v>1</v>
      </c>
      <c r="H201" s="6" t="n">
        <v>11.64</v>
      </c>
    </row>
    <row r="202" customFormat="false" ht="15" hidden="false" customHeight="false" outlineLevel="0" collapsed="false">
      <c r="A202" s="0" t="s">
        <v>183</v>
      </c>
      <c r="B202" s="0" t="s">
        <v>184</v>
      </c>
      <c r="C202" s="0" t="s">
        <v>185</v>
      </c>
      <c r="D202" s="4" t="n">
        <v>46037</v>
      </c>
      <c r="E202" s="5" t="s">
        <v>23</v>
      </c>
      <c r="F202" s="14" t="n">
        <v>11.79</v>
      </c>
      <c r="G202" s="0" t="n">
        <v>7</v>
      </c>
      <c r="H202" s="6" t="n">
        <v>82.53</v>
      </c>
    </row>
    <row r="203" customFormat="false" ht="15" hidden="false" customHeight="false" outlineLevel="0" collapsed="false">
      <c r="A203" s="0" t="s">
        <v>186</v>
      </c>
      <c r="B203" s="0" t="s">
        <v>187</v>
      </c>
      <c r="C203" s="0" t="s">
        <v>188</v>
      </c>
      <c r="D203" s="4" t="n">
        <v>45967</v>
      </c>
      <c r="E203" s="5" t="s">
        <v>11</v>
      </c>
      <c r="F203" s="14" t="n">
        <v>5.23</v>
      </c>
      <c r="G203" s="0" t="n">
        <v>15</v>
      </c>
      <c r="H203" s="6" t="n">
        <v>78.45</v>
      </c>
    </row>
    <row r="204" customFormat="false" ht="15" hidden="false" customHeight="false" outlineLevel="0" collapsed="false">
      <c r="A204" s="0" t="s">
        <v>186</v>
      </c>
      <c r="B204" s="0" t="s">
        <v>187</v>
      </c>
      <c r="C204" s="0" t="s">
        <v>188</v>
      </c>
      <c r="D204" s="4" t="n">
        <v>45979</v>
      </c>
      <c r="E204" s="5" t="s">
        <v>13</v>
      </c>
      <c r="F204" s="14" t="n">
        <v>5.23</v>
      </c>
      <c r="G204" s="0" t="n">
        <v>13</v>
      </c>
      <c r="H204" s="6" t="n">
        <v>67.99</v>
      </c>
    </row>
    <row r="205" customFormat="false" ht="15" hidden="false" customHeight="false" outlineLevel="0" collapsed="false">
      <c r="A205" s="0" t="s">
        <v>186</v>
      </c>
      <c r="B205" s="0" t="s">
        <v>187</v>
      </c>
      <c r="C205" s="0" t="s">
        <v>188</v>
      </c>
      <c r="D205" s="4" t="n">
        <v>46000</v>
      </c>
      <c r="E205" s="5" t="s">
        <v>19</v>
      </c>
      <c r="F205" s="14" t="n">
        <v>5.23</v>
      </c>
      <c r="G205" s="0" t="n">
        <v>14</v>
      </c>
      <c r="H205" s="6" t="n">
        <v>73.22</v>
      </c>
    </row>
    <row r="206" customFormat="false" ht="15" hidden="false" customHeight="false" outlineLevel="0" collapsed="false">
      <c r="A206" s="0" t="s">
        <v>186</v>
      </c>
      <c r="B206" s="0" t="s">
        <v>187</v>
      </c>
      <c r="C206" s="0" t="s">
        <v>188</v>
      </c>
      <c r="D206" s="4" t="n">
        <v>46007</v>
      </c>
      <c r="E206" s="5" t="s">
        <v>21</v>
      </c>
      <c r="F206" s="14" t="n">
        <v>5.23</v>
      </c>
      <c r="G206" s="0" t="n">
        <v>2</v>
      </c>
      <c r="H206" s="6" t="n">
        <v>10.46</v>
      </c>
    </row>
    <row r="207" customFormat="false" ht="15" hidden="false" customHeight="false" outlineLevel="0" collapsed="false">
      <c r="A207" s="0" t="s">
        <v>186</v>
      </c>
      <c r="B207" s="0" t="s">
        <v>187</v>
      </c>
      <c r="C207" s="0" t="s">
        <v>188</v>
      </c>
      <c r="D207" s="4" t="n">
        <v>46007</v>
      </c>
      <c r="E207" s="5" t="s">
        <v>22</v>
      </c>
      <c r="F207" s="14" t="n">
        <v>5.23</v>
      </c>
      <c r="G207" s="0" t="n">
        <v>21</v>
      </c>
      <c r="H207" s="6" t="n">
        <v>109.83</v>
      </c>
    </row>
    <row r="208" customFormat="false" ht="15" hidden="false" customHeight="false" outlineLevel="0" collapsed="false">
      <c r="A208" s="0" t="s">
        <v>186</v>
      </c>
      <c r="B208" s="0" t="s">
        <v>187</v>
      </c>
      <c r="C208" s="0" t="s">
        <v>188</v>
      </c>
      <c r="D208" s="4" t="n">
        <v>46097</v>
      </c>
      <c r="E208" s="5" t="s">
        <v>27</v>
      </c>
      <c r="F208" s="14" t="n">
        <v>5.23</v>
      </c>
      <c r="G208" s="0" t="n">
        <v>4</v>
      </c>
      <c r="H208" s="6" t="n">
        <v>20.92</v>
      </c>
    </row>
    <row r="209" customFormat="false" ht="15" hidden="false" customHeight="false" outlineLevel="0" collapsed="false">
      <c r="A209" s="0" t="s">
        <v>186</v>
      </c>
      <c r="B209" s="0" t="s">
        <v>187</v>
      </c>
      <c r="C209" s="0" t="s">
        <v>188</v>
      </c>
      <c r="D209" s="4" t="n">
        <v>46105</v>
      </c>
      <c r="E209" s="5" t="s">
        <v>28</v>
      </c>
      <c r="F209" s="14" t="n">
        <v>5.23</v>
      </c>
      <c r="G209" s="0" t="n">
        <v>10</v>
      </c>
      <c r="H209" s="6" t="n">
        <v>52.3</v>
      </c>
    </row>
    <row r="210" customFormat="false" ht="15" hidden="false" customHeight="false" outlineLevel="0" collapsed="false">
      <c r="A210" s="0" t="s">
        <v>186</v>
      </c>
      <c r="B210" s="0" t="s">
        <v>187</v>
      </c>
      <c r="C210" s="0" t="s">
        <v>188</v>
      </c>
      <c r="D210" s="4" t="n">
        <v>46125</v>
      </c>
      <c r="E210" s="5" t="s">
        <v>31</v>
      </c>
      <c r="F210" s="14" t="n">
        <v>6.26</v>
      </c>
      <c r="G210" s="0" t="n">
        <v>25</v>
      </c>
      <c r="H210" s="6" t="n">
        <v>156.5</v>
      </c>
    </row>
    <row r="211" customFormat="false" ht="15" hidden="false" customHeight="false" outlineLevel="0" collapsed="false">
      <c r="A211" s="0" t="s">
        <v>186</v>
      </c>
      <c r="B211" s="0" t="s">
        <v>187</v>
      </c>
      <c r="C211" s="0" t="s">
        <v>188</v>
      </c>
      <c r="D211" s="4" t="n">
        <v>46147</v>
      </c>
      <c r="E211" s="5" t="s">
        <v>32</v>
      </c>
      <c r="F211" s="14" t="n">
        <v>6.26</v>
      </c>
      <c r="G211" s="0" t="n">
        <v>2</v>
      </c>
      <c r="H211" s="6" t="n">
        <v>12.52</v>
      </c>
    </row>
    <row r="212" customFormat="false" ht="15" hidden="false" customHeight="false" outlineLevel="0" collapsed="false">
      <c r="A212" s="0" t="s">
        <v>304</v>
      </c>
      <c r="B212" s="0" t="s">
        <v>305</v>
      </c>
      <c r="C212" s="0" t="s">
        <v>81</v>
      </c>
      <c r="D212" s="4" t="n">
        <v>46007</v>
      </c>
      <c r="E212" s="5" t="s">
        <v>21</v>
      </c>
      <c r="F212" s="14" t="n">
        <v>3.2</v>
      </c>
      <c r="G212" s="0" t="n">
        <v>1</v>
      </c>
      <c r="H212" s="6" t="n">
        <v>3.2</v>
      </c>
    </row>
    <row r="213" customFormat="false" ht="15" hidden="false" customHeight="false" outlineLevel="0" collapsed="false">
      <c r="A213" s="0" t="s">
        <v>306</v>
      </c>
      <c r="B213" s="0" t="s">
        <v>307</v>
      </c>
      <c r="C213" s="0" t="s">
        <v>81</v>
      </c>
      <c r="D213" s="4" t="n">
        <v>46007</v>
      </c>
      <c r="E213" s="5" t="s">
        <v>21</v>
      </c>
      <c r="F213" s="14" t="n">
        <v>7.07</v>
      </c>
      <c r="G213" s="0" t="n">
        <v>1</v>
      </c>
      <c r="H213" s="6" t="n">
        <v>7.07</v>
      </c>
    </row>
    <row r="214" customFormat="false" ht="15" hidden="false" customHeight="false" outlineLevel="0" collapsed="false">
      <c r="A214" s="0" t="s">
        <v>99</v>
      </c>
      <c r="B214" s="0" t="s">
        <v>100</v>
      </c>
      <c r="C214" s="0" t="s">
        <v>81</v>
      </c>
      <c r="D214" s="4" t="n">
        <v>45967</v>
      </c>
      <c r="E214" s="5" t="s">
        <v>11</v>
      </c>
      <c r="F214" s="14" t="n">
        <v>11.75</v>
      </c>
      <c r="G214" s="0" t="n">
        <v>1</v>
      </c>
      <c r="H214" s="6" t="n">
        <v>11.75</v>
      </c>
    </row>
    <row r="215" customFormat="false" ht="15" hidden="false" customHeight="false" outlineLevel="0" collapsed="false">
      <c r="A215" s="0" t="s">
        <v>99</v>
      </c>
      <c r="B215" s="0" t="s">
        <v>100</v>
      </c>
      <c r="C215" s="0" t="s">
        <v>81</v>
      </c>
      <c r="D215" s="4" t="n">
        <v>45979</v>
      </c>
      <c r="E215" s="5" t="s">
        <v>13</v>
      </c>
      <c r="F215" s="14" t="n">
        <v>11.75</v>
      </c>
      <c r="G215" s="0" t="n">
        <v>1</v>
      </c>
      <c r="H215" s="6" t="n">
        <v>11.75</v>
      </c>
    </row>
    <row r="216" customFormat="false" ht="15" hidden="false" customHeight="false" outlineLevel="0" collapsed="false">
      <c r="A216" s="0" t="s">
        <v>99</v>
      </c>
      <c r="B216" s="0" t="s">
        <v>100</v>
      </c>
      <c r="C216" s="0" t="s">
        <v>81</v>
      </c>
      <c r="D216" s="4" t="n">
        <v>46083</v>
      </c>
      <c r="E216" s="5" t="s">
        <v>26</v>
      </c>
      <c r="F216" s="14" t="n">
        <v>11.98</v>
      </c>
      <c r="G216" s="0" t="n">
        <v>2</v>
      </c>
      <c r="H216" s="6" t="n">
        <v>23.96</v>
      </c>
    </row>
    <row r="217" customFormat="false" ht="15" hidden="false" customHeight="false" outlineLevel="0" collapsed="false">
      <c r="A217" s="0" t="s">
        <v>99</v>
      </c>
      <c r="B217" s="0" t="s">
        <v>100</v>
      </c>
      <c r="C217" s="0" t="s">
        <v>81</v>
      </c>
      <c r="D217" s="4" t="n">
        <v>46097</v>
      </c>
      <c r="E217" s="5" t="s">
        <v>27</v>
      </c>
      <c r="F217" s="14" t="n">
        <v>11.98</v>
      </c>
      <c r="G217" s="0" t="n">
        <v>1</v>
      </c>
      <c r="H217" s="6" t="n">
        <v>11.98</v>
      </c>
    </row>
    <row r="218" customFormat="false" ht="15" hidden="false" customHeight="false" outlineLevel="0" collapsed="false">
      <c r="A218" s="0" t="s">
        <v>99</v>
      </c>
      <c r="B218" s="0" t="s">
        <v>100</v>
      </c>
      <c r="C218" s="0" t="s">
        <v>81</v>
      </c>
      <c r="D218" s="4" t="n">
        <v>46097</v>
      </c>
      <c r="E218" s="5" t="s">
        <v>27</v>
      </c>
      <c r="F218" s="14" t="n">
        <v>11.98</v>
      </c>
      <c r="G218" s="0" t="n">
        <v>1</v>
      </c>
      <c r="H218" s="6" t="n">
        <v>11.98</v>
      </c>
    </row>
    <row r="219" customFormat="false" ht="15" hidden="false" customHeight="false" outlineLevel="0" collapsed="false">
      <c r="A219" s="22" t="s">
        <v>99</v>
      </c>
      <c r="B219" s="22" t="s">
        <v>100</v>
      </c>
      <c r="C219" s="22" t="s">
        <v>81</v>
      </c>
      <c r="D219" s="21" t="n">
        <v>46125</v>
      </c>
      <c r="E219" s="22" t="s">
        <v>31</v>
      </c>
      <c r="F219" s="16" t="n">
        <v>14.66</v>
      </c>
      <c r="G219" s="22" t="n">
        <v>2</v>
      </c>
      <c r="H219" s="23" t="n">
        <v>29.32</v>
      </c>
      <c r="I219" s="22" t="s">
        <v>387</v>
      </c>
    </row>
    <row r="220" customFormat="false" ht="15" hidden="false" customHeight="false" outlineLevel="0" collapsed="false">
      <c r="A220" s="0" t="s">
        <v>99</v>
      </c>
      <c r="B220" s="0" t="s">
        <v>100</v>
      </c>
      <c r="C220" s="0" t="s">
        <v>81</v>
      </c>
      <c r="D220" s="4" t="n">
        <v>46147</v>
      </c>
      <c r="E220" s="5" t="s">
        <v>32</v>
      </c>
      <c r="F220" s="14" t="n">
        <v>17.24</v>
      </c>
      <c r="G220" s="0" t="n">
        <v>2</v>
      </c>
      <c r="H220" s="6" t="n">
        <v>34.48</v>
      </c>
    </row>
    <row r="221" customFormat="false" ht="15" hidden="false" customHeight="false" outlineLevel="0" collapsed="false">
      <c r="A221" s="0" t="s">
        <v>308</v>
      </c>
      <c r="B221" s="0" t="s">
        <v>309</v>
      </c>
      <c r="C221" s="0" t="s">
        <v>81</v>
      </c>
      <c r="D221" s="4" t="n">
        <v>46000</v>
      </c>
      <c r="E221" s="5" t="s">
        <v>19</v>
      </c>
      <c r="F221" s="14" t="n">
        <v>5.65</v>
      </c>
      <c r="G221" s="0" t="n">
        <v>2</v>
      </c>
      <c r="H221" s="6" t="n">
        <v>11.3</v>
      </c>
    </row>
    <row r="222" customFormat="false" ht="15" hidden="false" customHeight="false" outlineLevel="0" collapsed="false">
      <c r="A222" s="0" t="s">
        <v>189</v>
      </c>
      <c r="B222" s="0" t="s">
        <v>190</v>
      </c>
      <c r="C222" s="0" t="s">
        <v>188</v>
      </c>
      <c r="D222" s="4" t="n">
        <v>45979</v>
      </c>
      <c r="E222" s="5" t="s">
        <v>13</v>
      </c>
      <c r="F222" s="14" t="n">
        <v>2.65</v>
      </c>
      <c r="G222" s="0" t="n">
        <v>8</v>
      </c>
      <c r="H222" s="6" t="n">
        <v>21.2</v>
      </c>
    </row>
    <row r="223" customFormat="false" ht="15" hidden="false" customHeight="false" outlineLevel="0" collapsed="false">
      <c r="A223" s="0" t="s">
        <v>189</v>
      </c>
      <c r="B223" s="0" t="s">
        <v>190</v>
      </c>
      <c r="C223" s="0" t="s">
        <v>188</v>
      </c>
      <c r="D223" s="4" t="n">
        <v>46000</v>
      </c>
      <c r="E223" s="5" t="s">
        <v>19</v>
      </c>
      <c r="F223" s="14" t="n">
        <v>2.65</v>
      </c>
      <c r="G223" s="0" t="n">
        <v>8</v>
      </c>
      <c r="H223" s="6" t="n">
        <v>21.2</v>
      </c>
    </row>
    <row r="224" customFormat="false" ht="15" hidden="false" customHeight="false" outlineLevel="0" collapsed="false">
      <c r="A224" s="0" t="s">
        <v>189</v>
      </c>
      <c r="B224" s="0" t="s">
        <v>190</v>
      </c>
      <c r="C224" s="0" t="s">
        <v>188</v>
      </c>
      <c r="D224" s="4" t="n">
        <v>46007</v>
      </c>
      <c r="E224" s="5" t="s">
        <v>22</v>
      </c>
      <c r="F224" s="14" t="n">
        <v>2.65</v>
      </c>
      <c r="G224" s="0" t="n">
        <v>12</v>
      </c>
      <c r="H224" s="6" t="n">
        <v>31.8</v>
      </c>
    </row>
    <row r="225" customFormat="false" ht="15" hidden="false" customHeight="false" outlineLevel="0" collapsed="false">
      <c r="A225" s="0" t="s">
        <v>189</v>
      </c>
      <c r="B225" s="0" t="s">
        <v>190</v>
      </c>
      <c r="C225" s="0" t="s">
        <v>188</v>
      </c>
      <c r="D225" s="4" t="n">
        <v>46083</v>
      </c>
      <c r="E225" s="5" t="s">
        <v>26</v>
      </c>
      <c r="F225" s="14" t="n">
        <v>2.65</v>
      </c>
      <c r="G225" s="0" t="n">
        <v>6</v>
      </c>
      <c r="H225" s="6" t="n">
        <v>15.9</v>
      </c>
    </row>
    <row r="226" customFormat="false" ht="15" hidden="false" customHeight="false" outlineLevel="0" collapsed="false">
      <c r="A226" s="0" t="s">
        <v>189</v>
      </c>
      <c r="B226" s="0" t="s">
        <v>190</v>
      </c>
      <c r="C226" s="0" t="s">
        <v>188</v>
      </c>
      <c r="D226" s="4" t="n">
        <v>46097</v>
      </c>
      <c r="E226" s="5" t="s">
        <v>27</v>
      </c>
      <c r="F226" s="14" t="n">
        <v>2.65</v>
      </c>
      <c r="G226" s="0" t="n">
        <v>12</v>
      </c>
      <c r="H226" s="6" t="n">
        <v>31.8</v>
      </c>
    </row>
    <row r="227" customFormat="false" ht="15" hidden="false" customHeight="false" outlineLevel="0" collapsed="false">
      <c r="A227" s="0" t="s">
        <v>189</v>
      </c>
      <c r="B227" s="0" t="s">
        <v>190</v>
      </c>
      <c r="C227" s="0" t="s">
        <v>188</v>
      </c>
      <c r="D227" s="4" t="n">
        <v>46147</v>
      </c>
      <c r="E227" s="5" t="s">
        <v>32</v>
      </c>
      <c r="F227" s="14" t="n">
        <v>2.94</v>
      </c>
      <c r="G227" s="0" t="n">
        <v>13</v>
      </c>
      <c r="H227" s="6" t="n">
        <v>38.22</v>
      </c>
    </row>
    <row r="228" customFormat="false" ht="15" hidden="false" customHeight="false" outlineLevel="0" collapsed="false">
      <c r="A228" s="0" t="s">
        <v>101</v>
      </c>
      <c r="B228" s="0" t="s">
        <v>102</v>
      </c>
      <c r="C228" s="0" t="s">
        <v>81</v>
      </c>
      <c r="D228" s="4" t="n">
        <v>45967</v>
      </c>
      <c r="E228" s="5" t="s">
        <v>11</v>
      </c>
      <c r="F228" s="14" t="n">
        <v>19.23</v>
      </c>
      <c r="G228" s="0" t="n">
        <v>1</v>
      </c>
      <c r="H228" s="6" t="n">
        <v>19.23</v>
      </c>
    </row>
    <row r="229" customFormat="false" ht="15" hidden="false" customHeight="false" outlineLevel="0" collapsed="false">
      <c r="A229" s="0" t="s">
        <v>101</v>
      </c>
      <c r="B229" s="0" t="s">
        <v>102</v>
      </c>
      <c r="C229" s="0" t="s">
        <v>81</v>
      </c>
      <c r="D229" s="4" t="n">
        <v>45979</v>
      </c>
      <c r="E229" s="5" t="s">
        <v>13</v>
      </c>
      <c r="F229" s="14" t="n">
        <v>19.23</v>
      </c>
      <c r="G229" s="0" t="n">
        <v>1</v>
      </c>
      <c r="H229" s="6" t="n">
        <v>19.23</v>
      </c>
    </row>
    <row r="230" customFormat="false" ht="15" hidden="false" customHeight="false" outlineLevel="0" collapsed="false">
      <c r="A230" s="0" t="s">
        <v>101</v>
      </c>
      <c r="B230" s="0" t="s">
        <v>102</v>
      </c>
      <c r="C230" s="0" t="s">
        <v>81</v>
      </c>
      <c r="D230" s="4" t="n">
        <v>46083</v>
      </c>
      <c r="E230" s="5" t="s">
        <v>26</v>
      </c>
      <c r="F230" s="14" t="n">
        <v>19.25</v>
      </c>
      <c r="G230" s="0" t="n">
        <v>2</v>
      </c>
      <c r="H230" s="6" t="n">
        <v>38.5</v>
      </c>
    </row>
    <row r="231" customFormat="false" ht="15" hidden="false" customHeight="false" outlineLevel="0" collapsed="false">
      <c r="A231" s="0" t="s">
        <v>101</v>
      </c>
      <c r="B231" s="0" t="s">
        <v>102</v>
      </c>
      <c r="C231" s="0" t="s">
        <v>81</v>
      </c>
      <c r="D231" s="4" t="n">
        <v>46097</v>
      </c>
      <c r="E231" s="5" t="s">
        <v>27</v>
      </c>
      <c r="F231" s="14" t="n">
        <v>19.25</v>
      </c>
      <c r="G231" s="0" t="n">
        <v>2</v>
      </c>
      <c r="H231" s="6" t="n">
        <v>38.5</v>
      </c>
    </row>
    <row r="232" customFormat="false" ht="15" hidden="false" customHeight="false" outlineLevel="0" collapsed="false">
      <c r="A232" s="22" t="s">
        <v>101</v>
      </c>
      <c r="B232" s="22" t="s">
        <v>102</v>
      </c>
      <c r="C232" s="22" t="s">
        <v>81</v>
      </c>
      <c r="D232" s="21" t="n">
        <v>46125</v>
      </c>
      <c r="E232" s="22" t="s">
        <v>31</v>
      </c>
      <c r="F232" s="16" t="n">
        <v>20.55</v>
      </c>
      <c r="G232" s="22" t="n">
        <v>1</v>
      </c>
      <c r="H232" s="23" t="n">
        <v>20.55</v>
      </c>
      <c r="I232" s="22" t="s">
        <v>387</v>
      </c>
    </row>
    <row r="233" customFormat="false" ht="15" hidden="false" customHeight="false" outlineLevel="0" collapsed="false">
      <c r="A233" s="0" t="s">
        <v>101</v>
      </c>
      <c r="B233" s="0" t="s">
        <v>102</v>
      </c>
      <c r="C233" s="0" t="s">
        <v>81</v>
      </c>
      <c r="D233" s="4" t="n">
        <v>46147</v>
      </c>
      <c r="E233" s="5" t="s">
        <v>32</v>
      </c>
      <c r="F233" s="14" t="n">
        <v>24.41</v>
      </c>
      <c r="G233" s="0" t="n">
        <v>3</v>
      </c>
      <c r="H233" s="6" t="n">
        <v>73.23</v>
      </c>
    </row>
    <row r="234" customFormat="false" ht="15" hidden="false" customHeight="false" outlineLevel="0" collapsed="false">
      <c r="A234" s="0" t="s">
        <v>310</v>
      </c>
      <c r="B234" s="0" t="s">
        <v>311</v>
      </c>
      <c r="C234" s="0" t="s">
        <v>81</v>
      </c>
      <c r="D234" s="4" t="n">
        <v>46120</v>
      </c>
      <c r="E234" s="5" t="s">
        <v>30</v>
      </c>
      <c r="F234" s="14" t="n">
        <v>7.19</v>
      </c>
      <c r="G234" s="0" t="n">
        <v>1</v>
      </c>
      <c r="H234" s="6" t="n">
        <v>11.58</v>
      </c>
    </row>
    <row r="235" customFormat="false" ht="15" hidden="false" customHeight="false" outlineLevel="0" collapsed="false">
      <c r="A235" s="0" t="s">
        <v>310</v>
      </c>
      <c r="B235" s="0" t="s">
        <v>311</v>
      </c>
      <c r="C235" s="0" t="s">
        <v>81</v>
      </c>
      <c r="D235" s="4" t="n">
        <v>46120</v>
      </c>
      <c r="E235" s="5" t="s">
        <v>30</v>
      </c>
      <c r="F235" s="14" t="n">
        <v>7.19</v>
      </c>
      <c r="G235" s="0" t="n">
        <v>1</v>
      </c>
      <c r="H235" s="6" t="n">
        <v>12.19</v>
      </c>
    </row>
    <row r="236" customFormat="false" ht="15" hidden="false" customHeight="false" outlineLevel="0" collapsed="false">
      <c r="A236" s="0" t="s">
        <v>313</v>
      </c>
      <c r="B236" s="0" t="s">
        <v>314</v>
      </c>
      <c r="C236" s="0" t="s">
        <v>81</v>
      </c>
      <c r="D236" s="4" t="n">
        <v>46120</v>
      </c>
      <c r="E236" s="5" t="s">
        <v>30</v>
      </c>
      <c r="F236" s="14" t="n">
        <v>7.89</v>
      </c>
      <c r="G236" s="0" t="n">
        <v>1</v>
      </c>
      <c r="H236" s="6" t="n">
        <v>13.59</v>
      </c>
    </row>
    <row r="237" customFormat="false" ht="15" hidden="false" customHeight="false" outlineLevel="0" collapsed="false">
      <c r="A237" s="0" t="s">
        <v>313</v>
      </c>
      <c r="B237" s="0" t="s">
        <v>314</v>
      </c>
      <c r="C237" s="0" t="s">
        <v>81</v>
      </c>
      <c r="D237" s="4" t="n">
        <v>46120</v>
      </c>
      <c r="E237" s="5" t="s">
        <v>30</v>
      </c>
      <c r="F237" s="14" t="n">
        <v>7.89</v>
      </c>
      <c r="G237" s="0" t="n">
        <v>1</v>
      </c>
      <c r="H237" s="6" t="n">
        <v>13.59</v>
      </c>
    </row>
    <row r="238" customFormat="false" ht="15" hidden="false" customHeight="false" outlineLevel="0" collapsed="false">
      <c r="A238" s="22" t="s">
        <v>315</v>
      </c>
      <c r="B238" s="22" t="s">
        <v>316</v>
      </c>
      <c r="C238" s="22" t="s">
        <v>81</v>
      </c>
      <c r="D238" s="21" t="n">
        <v>46125</v>
      </c>
      <c r="E238" s="22" t="s">
        <v>31</v>
      </c>
      <c r="F238" s="16" t="n">
        <v>23.24</v>
      </c>
      <c r="G238" s="22" t="n">
        <v>10</v>
      </c>
      <c r="H238" s="23" t="n">
        <v>232.4</v>
      </c>
      <c r="I238" s="22" t="s">
        <v>387</v>
      </c>
    </row>
    <row r="239" customFormat="false" ht="15" hidden="false" customHeight="false" outlineLevel="0" collapsed="false">
      <c r="A239" s="22" t="s">
        <v>79</v>
      </c>
      <c r="B239" s="22" t="s">
        <v>80</v>
      </c>
      <c r="C239" s="22" t="s">
        <v>81</v>
      </c>
      <c r="D239" s="21" t="n">
        <v>45967</v>
      </c>
      <c r="E239" s="22" t="s">
        <v>11</v>
      </c>
      <c r="F239" s="16" t="n">
        <v>11.5</v>
      </c>
      <c r="G239" s="22" t="n">
        <v>1</v>
      </c>
      <c r="H239" s="23" t="n">
        <v>11.5</v>
      </c>
      <c r="I239" s="22" t="s">
        <v>387</v>
      </c>
    </row>
    <row r="240" customFormat="false" ht="15" hidden="false" customHeight="false" outlineLevel="0" collapsed="false">
      <c r="A240" s="0" t="s">
        <v>79</v>
      </c>
      <c r="B240" s="0" t="s">
        <v>80</v>
      </c>
      <c r="C240" s="0" t="s">
        <v>81</v>
      </c>
      <c r="D240" s="4" t="n">
        <v>46000</v>
      </c>
      <c r="E240" s="5" t="s">
        <v>19</v>
      </c>
      <c r="F240" s="14" t="n">
        <v>12.75</v>
      </c>
      <c r="G240" s="0" t="n">
        <v>1</v>
      </c>
      <c r="H240" s="6" t="n">
        <v>12.75</v>
      </c>
    </row>
    <row r="241" customFormat="false" ht="15" hidden="false" customHeight="false" outlineLevel="0" collapsed="false">
      <c r="A241" s="0" t="s">
        <v>79</v>
      </c>
      <c r="B241" s="0" t="s">
        <v>80</v>
      </c>
      <c r="C241" s="0" t="s">
        <v>81</v>
      </c>
      <c r="D241" s="4" t="n">
        <v>46007</v>
      </c>
      <c r="E241" s="5" t="s">
        <v>22</v>
      </c>
      <c r="F241" s="14" t="n">
        <v>12.75</v>
      </c>
      <c r="G241" s="0" t="n">
        <v>2</v>
      </c>
      <c r="H241" s="6" t="n">
        <v>25.5</v>
      </c>
    </row>
    <row r="242" customFormat="false" ht="15" hidden="false" customHeight="false" outlineLevel="0" collapsed="false">
      <c r="A242" s="0" t="s">
        <v>79</v>
      </c>
      <c r="B242" s="0" t="s">
        <v>80</v>
      </c>
      <c r="C242" s="0" t="s">
        <v>81</v>
      </c>
      <c r="D242" s="4" t="n">
        <v>46083</v>
      </c>
      <c r="E242" s="5" t="s">
        <v>26</v>
      </c>
      <c r="F242" s="14" t="n">
        <v>12.72</v>
      </c>
      <c r="G242" s="0" t="n">
        <v>5</v>
      </c>
      <c r="H242" s="6" t="n">
        <v>63.6</v>
      </c>
    </row>
    <row r="243" customFormat="false" ht="15" hidden="false" customHeight="false" outlineLevel="0" collapsed="false">
      <c r="A243" s="0" t="s">
        <v>79</v>
      </c>
      <c r="B243" s="0" t="s">
        <v>80</v>
      </c>
      <c r="C243" s="0" t="s">
        <v>81</v>
      </c>
      <c r="D243" s="4" t="n">
        <v>46097</v>
      </c>
      <c r="E243" s="5" t="s">
        <v>27</v>
      </c>
      <c r="F243" s="14" t="n">
        <v>12.72</v>
      </c>
      <c r="G243" s="0" t="n">
        <v>6</v>
      </c>
      <c r="H243" s="6" t="n">
        <v>76.32</v>
      </c>
    </row>
    <row r="244" customFormat="false" ht="15" hidden="false" customHeight="false" outlineLevel="0" collapsed="false">
      <c r="A244" s="0" t="s">
        <v>79</v>
      </c>
      <c r="B244" s="0" t="s">
        <v>80</v>
      </c>
      <c r="C244" s="0" t="s">
        <v>81</v>
      </c>
      <c r="D244" s="4" t="n">
        <v>46105</v>
      </c>
      <c r="E244" s="5" t="s">
        <v>28</v>
      </c>
      <c r="F244" s="14" t="n">
        <v>13.42</v>
      </c>
      <c r="G244" s="0" t="n">
        <v>1</v>
      </c>
      <c r="H244" s="6" t="n">
        <v>13.42</v>
      </c>
    </row>
    <row r="245" customFormat="false" ht="15" hidden="false" customHeight="false" outlineLevel="0" collapsed="false">
      <c r="A245" s="0" t="s">
        <v>79</v>
      </c>
      <c r="B245" s="0" t="s">
        <v>80</v>
      </c>
      <c r="C245" s="0" t="s">
        <v>81</v>
      </c>
      <c r="D245" s="4" t="n">
        <v>46125</v>
      </c>
      <c r="E245" s="5" t="s">
        <v>31</v>
      </c>
      <c r="F245" s="14" t="n">
        <v>19.47</v>
      </c>
      <c r="G245" s="0" t="n">
        <v>3</v>
      </c>
      <c r="H245" s="6" t="n">
        <v>58.41</v>
      </c>
    </row>
    <row r="246" customFormat="false" ht="15" hidden="false" customHeight="false" outlineLevel="0" collapsed="false">
      <c r="A246" s="0" t="s">
        <v>79</v>
      </c>
      <c r="B246" s="0" t="s">
        <v>80</v>
      </c>
      <c r="C246" s="0" t="s">
        <v>81</v>
      </c>
      <c r="D246" s="4" t="n">
        <v>46147</v>
      </c>
      <c r="E246" s="5" t="s">
        <v>32</v>
      </c>
      <c r="F246" s="14" t="n">
        <v>18.46</v>
      </c>
      <c r="G246" s="0" t="n">
        <v>7</v>
      </c>
      <c r="H246" s="6" t="n">
        <v>129.22</v>
      </c>
    </row>
    <row r="247" customFormat="false" ht="15" hidden="false" customHeight="false" outlineLevel="0" collapsed="false">
      <c r="A247" s="0" t="s">
        <v>134</v>
      </c>
      <c r="B247" s="0" t="s">
        <v>135</v>
      </c>
      <c r="C247" s="0" t="s">
        <v>81</v>
      </c>
      <c r="D247" s="4" t="n">
        <v>45967</v>
      </c>
      <c r="E247" s="5" t="s">
        <v>11</v>
      </c>
      <c r="F247" s="14" t="n">
        <v>15.31</v>
      </c>
      <c r="G247" s="0" t="n">
        <v>1</v>
      </c>
      <c r="H247" s="6" t="n">
        <v>15.31</v>
      </c>
    </row>
    <row r="248" customFormat="false" ht="15" hidden="false" customHeight="false" outlineLevel="0" collapsed="false">
      <c r="A248" s="0" t="s">
        <v>134</v>
      </c>
      <c r="B248" s="0" t="s">
        <v>135</v>
      </c>
      <c r="C248" s="0" t="s">
        <v>81</v>
      </c>
      <c r="D248" s="4" t="n">
        <v>45979</v>
      </c>
      <c r="E248" s="5" t="s">
        <v>13</v>
      </c>
      <c r="F248" s="14" t="n">
        <v>15.31</v>
      </c>
      <c r="G248" s="0" t="n">
        <v>3</v>
      </c>
      <c r="H248" s="6" t="n">
        <v>45.93</v>
      </c>
    </row>
    <row r="249" customFormat="false" ht="15" hidden="false" customHeight="false" outlineLevel="0" collapsed="false">
      <c r="A249" s="0" t="s">
        <v>134</v>
      </c>
      <c r="B249" s="0" t="s">
        <v>135</v>
      </c>
      <c r="C249" s="0" t="s">
        <v>81</v>
      </c>
      <c r="D249" s="4" t="n">
        <v>46000</v>
      </c>
      <c r="E249" s="5" t="s">
        <v>19</v>
      </c>
      <c r="F249" s="14" t="n">
        <v>15.31</v>
      </c>
      <c r="G249" s="0" t="n">
        <v>3</v>
      </c>
      <c r="H249" s="6" t="n">
        <v>45.93</v>
      </c>
    </row>
    <row r="250" customFormat="false" ht="15" hidden="false" customHeight="false" outlineLevel="0" collapsed="false">
      <c r="A250" s="0" t="s">
        <v>134</v>
      </c>
      <c r="B250" s="0" t="s">
        <v>135</v>
      </c>
      <c r="C250" s="0" t="s">
        <v>81</v>
      </c>
      <c r="D250" s="4" t="n">
        <v>46007</v>
      </c>
      <c r="E250" s="5" t="s">
        <v>22</v>
      </c>
      <c r="F250" s="14" t="n">
        <v>15.31</v>
      </c>
      <c r="G250" s="0" t="n">
        <v>4</v>
      </c>
      <c r="H250" s="6" t="n">
        <v>61.24</v>
      </c>
    </row>
    <row r="251" customFormat="false" ht="15" hidden="false" customHeight="false" outlineLevel="0" collapsed="false">
      <c r="A251" s="0" t="s">
        <v>134</v>
      </c>
      <c r="B251" s="0" t="s">
        <v>135</v>
      </c>
      <c r="C251" s="0" t="s">
        <v>81</v>
      </c>
      <c r="D251" s="4" t="n">
        <v>46083</v>
      </c>
      <c r="E251" s="5" t="s">
        <v>26</v>
      </c>
      <c r="F251" s="14" t="n">
        <v>15.36</v>
      </c>
      <c r="G251" s="0" t="n">
        <v>5</v>
      </c>
      <c r="H251" s="6" t="n">
        <v>76.8</v>
      </c>
    </row>
    <row r="252" customFormat="false" ht="15" hidden="false" customHeight="false" outlineLevel="0" collapsed="false">
      <c r="A252" s="0" t="s">
        <v>134</v>
      </c>
      <c r="B252" s="0" t="s">
        <v>135</v>
      </c>
      <c r="C252" s="0" t="s">
        <v>81</v>
      </c>
      <c r="D252" s="4" t="n">
        <v>46097</v>
      </c>
      <c r="E252" s="5" t="s">
        <v>27</v>
      </c>
      <c r="F252" s="14" t="n">
        <v>15.36</v>
      </c>
      <c r="G252" s="0" t="n">
        <v>5</v>
      </c>
      <c r="H252" s="6" t="n">
        <v>76.8</v>
      </c>
    </row>
    <row r="253" customFormat="false" ht="15" hidden="false" customHeight="false" outlineLevel="0" collapsed="false">
      <c r="A253" s="0" t="s">
        <v>134</v>
      </c>
      <c r="B253" s="0" t="s">
        <v>135</v>
      </c>
      <c r="C253" s="0" t="s">
        <v>81</v>
      </c>
      <c r="D253" s="4" t="n">
        <v>46105</v>
      </c>
      <c r="E253" s="5" t="s">
        <v>28</v>
      </c>
      <c r="F253" s="14" t="n">
        <v>15.42</v>
      </c>
      <c r="G253" s="0" t="n">
        <v>1</v>
      </c>
      <c r="H253" s="6" t="n">
        <v>15.42</v>
      </c>
    </row>
    <row r="254" customFormat="false" ht="15" hidden="false" customHeight="false" outlineLevel="0" collapsed="false">
      <c r="A254" s="22" t="s">
        <v>136</v>
      </c>
      <c r="B254" s="22" t="s">
        <v>137</v>
      </c>
      <c r="C254" s="22" t="s">
        <v>81</v>
      </c>
      <c r="D254" s="21" t="n">
        <v>45967</v>
      </c>
      <c r="E254" s="22" t="s">
        <v>11</v>
      </c>
      <c r="F254" s="16" t="n">
        <v>14.61</v>
      </c>
      <c r="G254" s="22" t="n">
        <v>1</v>
      </c>
      <c r="H254" s="23" t="n">
        <v>14.61</v>
      </c>
      <c r="I254" s="22" t="s">
        <v>387</v>
      </c>
    </row>
    <row r="255" customFormat="false" ht="15" hidden="false" customHeight="false" outlineLevel="0" collapsed="false">
      <c r="A255" s="22" t="s">
        <v>136</v>
      </c>
      <c r="B255" s="22" t="s">
        <v>137</v>
      </c>
      <c r="C255" s="22" t="s">
        <v>81</v>
      </c>
      <c r="D255" s="21" t="n">
        <v>45979</v>
      </c>
      <c r="E255" s="22" t="s">
        <v>13</v>
      </c>
      <c r="F255" s="16" t="n">
        <v>14.61</v>
      </c>
      <c r="G255" s="22" t="n">
        <v>3</v>
      </c>
      <c r="H255" s="23" t="n">
        <v>43.83</v>
      </c>
      <c r="I255" s="22" t="s">
        <v>387</v>
      </c>
    </row>
    <row r="256" customFormat="false" ht="15" hidden="false" customHeight="false" outlineLevel="0" collapsed="false">
      <c r="A256" s="0" t="s">
        <v>136</v>
      </c>
      <c r="B256" s="0" t="s">
        <v>137</v>
      </c>
      <c r="C256" s="0" t="s">
        <v>81</v>
      </c>
      <c r="D256" s="4" t="n">
        <v>46000</v>
      </c>
      <c r="E256" s="5" t="s">
        <v>19</v>
      </c>
      <c r="F256" s="14" t="n">
        <v>16.55</v>
      </c>
      <c r="G256" s="0" t="n">
        <v>2</v>
      </c>
      <c r="H256" s="6" t="n">
        <v>33.1</v>
      </c>
    </row>
    <row r="257" customFormat="false" ht="15" hidden="false" customHeight="false" outlineLevel="0" collapsed="false">
      <c r="A257" s="0" t="s">
        <v>136</v>
      </c>
      <c r="B257" s="0" t="s">
        <v>137</v>
      </c>
      <c r="C257" s="0" t="s">
        <v>81</v>
      </c>
      <c r="D257" s="4" t="n">
        <v>46007</v>
      </c>
      <c r="E257" s="5" t="s">
        <v>22</v>
      </c>
      <c r="F257" s="14" t="n">
        <v>16.55</v>
      </c>
      <c r="G257" s="0" t="n">
        <v>2</v>
      </c>
      <c r="H257" s="6" t="n">
        <v>33.1</v>
      </c>
    </row>
    <row r="258" customFormat="false" ht="15" hidden="false" customHeight="false" outlineLevel="0" collapsed="false">
      <c r="A258" s="22" t="s">
        <v>136</v>
      </c>
      <c r="B258" s="22" t="s">
        <v>137</v>
      </c>
      <c r="C258" s="22" t="s">
        <v>81</v>
      </c>
      <c r="D258" s="21" t="n">
        <v>46105</v>
      </c>
      <c r="E258" s="22" t="s">
        <v>28</v>
      </c>
      <c r="F258" s="16" t="n">
        <v>14.61</v>
      </c>
      <c r="G258" s="22" t="n">
        <v>3</v>
      </c>
      <c r="H258" s="23" t="n">
        <v>43.83</v>
      </c>
      <c r="I258" s="22" t="s">
        <v>387</v>
      </c>
    </row>
    <row r="259" customFormat="false" ht="15" hidden="false" customHeight="false" outlineLevel="0" collapsed="false">
      <c r="A259" s="0" t="s">
        <v>136</v>
      </c>
      <c r="B259" s="0" t="s">
        <v>137</v>
      </c>
      <c r="C259" s="0" t="s">
        <v>81</v>
      </c>
      <c r="D259" s="4" t="n">
        <v>46125</v>
      </c>
      <c r="E259" s="5" t="s">
        <v>31</v>
      </c>
      <c r="F259" s="14" t="n">
        <v>23.98</v>
      </c>
      <c r="G259" s="0" t="n">
        <v>3</v>
      </c>
      <c r="H259" s="6" t="n">
        <v>71.94</v>
      </c>
    </row>
    <row r="260" customFormat="false" ht="15" hidden="false" customHeight="false" outlineLevel="0" collapsed="false">
      <c r="A260" s="0" t="s">
        <v>138</v>
      </c>
      <c r="B260" s="0" t="s">
        <v>139</v>
      </c>
      <c r="C260" s="0" t="s">
        <v>81</v>
      </c>
      <c r="D260" s="4" t="n">
        <v>45967</v>
      </c>
      <c r="E260" s="5" t="s">
        <v>11</v>
      </c>
      <c r="F260" s="14" t="n">
        <v>12.99</v>
      </c>
      <c r="G260" s="0" t="n">
        <v>1</v>
      </c>
      <c r="H260" s="6" t="n">
        <v>12.99</v>
      </c>
    </row>
    <row r="261" customFormat="false" ht="15" hidden="false" customHeight="false" outlineLevel="0" collapsed="false">
      <c r="A261" s="0" t="s">
        <v>138</v>
      </c>
      <c r="B261" s="0" t="s">
        <v>139</v>
      </c>
      <c r="C261" s="0" t="s">
        <v>81</v>
      </c>
      <c r="D261" s="4" t="n">
        <v>46125</v>
      </c>
      <c r="E261" s="5" t="s">
        <v>31</v>
      </c>
      <c r="F261" s="14" t="n">
        <v>14.3</v>
      </c>
      <c r="G261" s="0" t="n">
        <v>3</v>
      </c>
      <c r="H261" s="6" t="n">
        <v>42.9</v>
      </c>
    </row>
    <row r="262" customFormat="false" ht="15" hidden="false" customHeight="false" outlineLevel="0" collapsed="false">
      <c r="A262" s="22" t="s">
        <v>138</v>
      </c>
      <c r="B262" s="22" t="s">
        <v>139</v>
      </c>
      <c r="C262" s="22" t="s">
        <v>81</v>
      </c>
      <c r="D262" s="21" t="n">
        <v>46147</v>
      </c>
      <c r="E262" s="22" t="s">
        <v>32</v>
      </c>
      <c r="F262" s="16" t="n">
        <v>14.14</v>
      </c>
      <c r="G262" s="22" t="n">
        <v>2</v>
      </c>
      <c r="H262" s="23" t="n">
        <v>28.28</v>
      </c>
      <c r="I262" s="22" t="s">
        <v>387</v>
      </c>
    </row>
    <row r="263" customFormat="false" ht="15" hidden="false" customHeight="false" outlineLevel="0" collapsed="false">
      <c r="A263" s="0" t="s">
        <v>140</v>
      </c>
      <c r="B263" s="0" t="s">
        <v>141</v>
      </c>
      <c r="C263" s="0" t="s">
        <v>81</v>
      </c>
      <c r="D263" s="4" t="n">
        <v>46083</v>
      </c>
      <c r="E263" s="5" t="s">
        <v>26</v>
      </c>
      <c r="F263" s="14" t="n">
        <v>15.04</v>
      </c>
      <c r="G263" s="0" t="n">
        <v>3</v>
      </c>
      <c r="H263" s="6" t="n">
        <v>45.12</v>
      </c>
    </row>
    <row r="264" customFormat="false" ht="15" hidden="false" customHeight="false" outlineLevel="0" collapsed="false">
      <c r="A264" s="0" t="s">
        <v>140</v>
      </c>
      <c r="B264" s="0" t="s">
        <v>141</v>
      </c>
      <c r="C264" s="0" t="s">
        <v>81</v>
      </c>
      <c r="D264" s="4" t="n">
        <v>46097</v>
      </c>
      <c r="E264" s="5" t="s">
        <v>27</v>
      </c>
      <c r="F264" s="14" t="n">
        <v>15.04</v>
      </c>
      <c r="G264" s="0" t="n">
        <v>1</v>
      </c>
      <c r="H264" s="6" t="n">
        <v>15.04</v>
      </c>
    </row>
    <row r="265" customFormat="false" ht="15" hidden="false" customHeight="false" outlineLevel="0" collapsed="false">
      <c r="A265" s="0" t="s">
        <v>140</v>
      </c>
      <c r="B265" s="0" t="s">
        <v>141</v>
      </c>
      <c r="C265" s="0" t="s">
        <v>81</v>
      </c>
      <c r="D265" s="4" t="n">
        <v>46097</v>
      </c>
      <c r="E265" s="5" t="s">
        <v>27</v>
      </c>
      <c r="F265" s="14" t="n">
        <v>15.04</v>
      </c>
      <c r="G265" s="0" t="n">
        <v>2</v>
      </c>
      <c r="H265" s="6" t="n">
        <v>30.08</v>
      </c>
    </row>
    <row r="266" customFormat="false" ht="15" hidden="false" customHeight="false" outlineLevel="0" collapsed="false">
      <c r="A266" s="0" t="s">
        <v>140</v>
      </c>
      <c r="B266" s="0" t="s">
        <v>141</v>
      </c>
      <c r="C266" s="0" t="s">
        <v>81</v>
      </c>
      <c r="D266" s="4" t="n">
        <v>46125</v>
      </c>
      <c r="E266" s="5" t="s">
        <v>31</v>
      </c>
      <c r="F266" s="14" t="n">
        <v>17.05</v>
      </c>
      <c r="G266" s="0" t="n">
        <v>1</v>
      </c>
      <c r="H266" s="6" t="n">
        <v>17.05</v>
      </c>
    </row>
    <row r="267" customFormat="false" ht="15" hidden="false" customHeight="false" outlineLevel="0" collapsed="false">
      <c r="A267" s="22" t="s">
        <v>140</v>
      </c>
      <c r="B267" s="22" t="s">
        <v>141</v>
      </c>
      <c r="C267" s="22" t="s">
        <v>81</v>
      </c>
      <c r="D267" s="21" t="n">
        <v>46147</v>
      </c>
      <c r="E267" s="22" t="s">
        <v>32</v>
      </c>
      <c r="F267" s="16" t="n">
        <v>13.38</v>
      </c>
      <c r="G267" s="22" t="n">
        <v>2</v>
      </c>
      <c r="H267" s="23" t="n">
        <v>26.76</v>
      </c>
      <c r="I267" s="22" t="s">
        <v>387</v>
      </c>
    </row>
    <row r="268" customFormat="false" ht="15" hidden="false" customHeight="false" outlineLevel="0" collapsed="false">
      <c r="A268" s="0" t="s">
        <v>317</v>
      </c>
      <c r="B268" s="0" t="s">
        <v>318</v>
      </c>
      <c r="C268" s="0" t="s">
        <v>81</v>
      </c>
      <c r="D268" s="4" t="n">
        <v>46037</v>
      </c>
      <c r="E268" s="5" t="s">
        <v>23</v>
      </c>
      <c r="F268" s="14" t="n">
        <v>5.76</v>
      </c>
      <c r="G268" s="0" t="n">
        <v>5</v>
      </c>
      <c r="H268" s="6" t="n">
        <v>28.8</v>
      </c>
    </row>
    <row r="269" customFormat="false" ht="15" hidden="false" customHeight="false" outlineLevel="0" collapsed="false">
      <c r="A269" s="0" t="s">
        <v>142</v>
      </c>
      <c r="B269" s="0" t="s">
        <v>143</v>
      </c>
      <c r="C269" s="0" t="s">
        <v>81</v>
      </c>
      <c r="D269" s="4" t="n">
        <v>45967</v>
      </c>
      <c r="E269" s="5" t="s">
        <v>11</v>
      </c>
      <c r="F269" s="14" t="n">
        <v>13.64</v>
      </c>
      <c r="G269" s="0" t="n">
        <v>1</v>
      </c>
      <c r="H269" s="6" t="n">
        <v>13.64</v>
      </c>
    </row>
    <row r="270" customFormat="false" ht="15" hidden="false" customHeight="false" outlineLevel="0" collapsed="false">
      <c r="A270" s="0" t="s">
        <v>142</v>
      </c>
      <c r="B270" s="0" t="s">
        <v>143</v>
      </c>
      <c r="C270" s="0" t="s">
        <v>81</v>
      </c>
      <c r="D270" s="4" t="n">
        <v>45979</v>
      </c>
      <c r="E270" s="5" t="s">
        <v>13</v>
      </c>
      <c r="F270" s="14" t="n">
        <v>13.64</v>
      </c>
      <c r="G270" s="0" t="n">
        <v>1</v>
      </c>
      <c r="H270" s="6" t="n">
        <v>13.64</v>
      </c>
    </row>
    <row r="271" customFormat="false" ht="15" hidden="false" customHeight="false" outlineLevel="0" collapsed="false">
      <c r="A271" s="0" t="s">
        <v>142</v>
      </c>
      <c r="B271" s="0" t="s">
        <v>143</v>
      </c>
      <c r="C271" s="0" t="s">
        <v>81</v>
      </c>
      <c r="D271" s="4" t="n">
        <v>46083</v>
      </c>
      <c r="E271" s="5" t="s">
        <v>26</v>
      </c>
      <c r="F271" s="14" t="n">
        <v>13.67</v>
      </c>
      <c r="G271" s="0" t="n">
        <v>1</v>
      </c>
      <c r="H271" s="6" t="n">
        <v>13.67</v>
      </c>
    </row>
    <row r="272" customFormat="false" ht="15" hidden="false" customHeight="false" outlineLevel="0" collapsed="false">
      <c r="A272" s="0" t="s">
        <v>142</v>
      </c>
      <c r="B272" s="0" t="s">
        <v>143</v>
      </c>
      <c r="C272" s="0" t="s">
        <v>81</v>
      </c>
      <c r="D272" s="4" t="n">
        <v>46097</v>
      </c>
      <c r="E272" s="5" t="s">
        <v>27</v>
      </c>
      <c r="F272" s="14" t="n">
        <v>13.67</v>
      </c>
      <c r="G272" s="0" t="n">
        <v>2</v>
      </c>
      <c r="H272" s="6" t="n">
        <v>27.34</v>
      </c>
    </row>
    <row r="273" customFormat="false" ht="15" hidden="false" customHeight="false" outlineLevel="0" collapsed="false">
      <c r="A273" s="0" t="s">
        <v>142</v>
      </c>
      <c r="B273" s="0" t="s">
        <v>143</v>
      </c>
      <c r="C273" s="0" t="s">
        <v>81</v>
      </c>
      <c r="D273" s="4" t="n">
        <v>46147</v>
      </c>
      <c r="E273" s="5" t="s">
        <v>32</v>
      </c>
      <c r="F273" s="14" t="n">
        <v>20.45</v>
      </c>
      <c r="G273" s="0" t="n">
        <v>2</v>
      </c>
      <c r="H273" s="6" t="n">
        <v>40.9</v>
      </c>
    </row>
    <row r="274" customFormat="false" ht="15" hidden="false" customHeight="false" outlineLevel="0" collapsed="false">
      <c r="A274" s="0" t="s">
        <v>103</v>
      </c>
      <c r="B274" s="0" t="s">
        <v>104</v>
      </c>
      <c r="C274" s="0" t="s">
        <v>81</v>
      </c>
      <c r="D274" s="4" t="n">
        <v>45967</v>
      </c>
      <c r="E274" s="5" t="s">
        <v>11</v>
      </c>
      <c r="F274" s="14" t="n">
        <v>14.7</v>
      </c>
      <c r="G274" s="0" t="n">
        <v>1</v>
      </c>
      <c r="H274" s="6" t="n">
        <v>14.7</v>
      </c>
    </row>
    <row r="275" customFormat="false" ht="15" hidden="false" customHeight="false" outlineLevel="0" collapsed="false">
      <c r="A275" s="0" t="s">
        <v>103</v>
      </c>
      <c r="B275" s="0" t="s">
        <v>104</v>
      </c>
      <c r="C275" s="0" t="s">
        <v>81</v>
      </c>
      <c r="D275" s="4" t="n">
        <v>45979</v>
      </c>
      <c r="E275" s="5" t="s">
        <v>13</v>
      </c>
      <c r="F275" s="14" t="n">
        <v>14.7</v>
      </c>
      <c r="G275" s="0" t="n">
        <v>1</v>
      </c>
      <c r="H275" s="6" t="n">
        <v>14.7</v>
      </c>
    </row>
    <row r="276" customFormat="false" ht="15" hidden="false" customHeight="false" outlineLevel="0" collapsed="false">
      <c r="A276" s="0" t="s">
        <v>103</v>
      </c>
      <c r="B276" s="0" t="s">
        <v>104</v>
      </c>
      <c r="C276" s="0" t="s">
        <v>81</v>
      </c>
      <c r="D276" s="4" t="n">
        <v>46083</v>
      </c>
      <c r="E276" s="5" t="s">
        <v>26</v>
      </c>
      <c r="F276" s="14" t="n">
        <v>14.73</v>
      </c>
      <c r="G276" s="0" t="n">
        <v>1</v>
      </c>
      <c r="H276" s="6" t="n">
        <v>14.73</v>
      </c>
    </row>
    <row r="277" customFormat="false" ht="15" hidden="false" customHeight="false" outlineLevel="0" collapsed="false">
      <c r="A277" s="0" t="s">
        <v>103</v>
      </c>
      <c r="B277" s="0" t="s">
        <v>104</v>
      </c>
      <c r="C277" s="0" t="s">
        <v>81</v>
      </c>
      <c r="D277" s="4" t="n">
        <v>46097</v>
      </c>
      <c r="E277" s="5" t="s">
        <v>27</v>
      </c>
      <c r="F277" s="14" t="n">
        <v>14.73</v>
      </c>
      <c r="G277" s="0" t="n">
        <v>1</v>
      </c>
      <c r="H277" s="6" t="n">
        <v>14.73</v>
      </c>
    </row>
    <row r="278" customFormat="false" ht="15" hidden="false" customHeight="false" outlineLevel="0" collapsed="false">
      <c r="A278" s="22" t="s">
        <v>103</v>
      </c>
      <c r="B278" s="22" t="s">
        <v>104</v>
      </c>
      <c r="C278" s="22" t="s">
        <v>81</v>
      </c>
      <c r="D278" s="21" t="n">
        <v>46125</v>
      </c>
      <c r="E278" s="22" t="s">
        <v>31</v>
      </c>
      <c r="F278" s="16" t="n">
        <v>18.93</v>
      </c>
      <c r="G278" s="22" t="n">
        <v>2</v>
      </c>
      <c r="H278" s="23" t="n">
        <v>37.86</v>
      </c>
      <c r="I278" s="22" t="s">
        <v>387</v>
      </c>
    </row>
    <row r="279" customFormat="false" ht="15" hidden="false" customHeight="false" outlineLevel="0" collapsed="false">
      <c r="A279" s="0" t="s">
        <v>103</v>
      </c>
      <c r="B279" s="0" t="s">
        <v>104</v>
      </c>
      <c r="C279" s="0" t="s">
        <v>81</v>
      </c>
      <c r="D279" s="4" t="n">
        <v>46147</v>
      </c>
      <c r="E279" s="5" t="s">
        <v>32</v>
      </c>
      <c r="F279" s="14" t="n">
        <v>19.74</v>
      </c>
      <c r="G279" s="0" t="n">
        <v>2</v>
      </c>
      <c r="H279" s="6" t="n">
        <v>39.48</v>
      </c>
    </row>
    <row r="280" customFormat="false" ht="15" hidden="false" customHeight="false" outlineLevel="0" collapsed="false">
      <c r="A280" s="0" t="s">
        <v>144</v>
      </c>
      <c r="B280" s="0" t="s">
        <v>145</v>
      </c>
      <c r="C280" s="0" t="s">
        <v>81</v>
      </c>
      <c r="D280" s="4" t="n">
        <v>45967</v>
      </c>
      <c r="E280" s="5" t="s">
        <v>11</v>
      </c>
      <c r="F280" s="14" t="n">
        <v>13.12</v>
      </c>
      <c r="G280" s="0" t="n">
        <v>1</v>
      </c>
      <c r="H280" s="6" t="n">
        <v>13.12</v>
      </c>
    </row>
    <row r="281" customFormat="false" ht="15" hidden="false" customHeight="false" outlineLevel="0" collapsed="false">
      <c r="A281" s="0" t="s">
        <v>144</v>
      </c>
      <c r="B281" s="0" t="s">
        <v>145</v>
      </c>
      <c r="C281" s="0" t="s">
        <v>81</v>
      </c>
      <c r="D281" s="4" t="n">
        <v>45979</v>
      </c>
      <c r="E281" s="5" t="s">
        <v>13</v>
      </c>
      <c r="F281" s="14" t="n">
        <v>13.12</v>
      </c>
      <c r="G281" s="0" t="n">
        <v>1</v>
      </c>
      <c r="H281" s="6" t="n">
        <v>13.12</v>
      </c>
    </row>
    <row r="282" customFormat="false" ht="15" hidden="false" customHeight="false" outlineLevel="0" collapsed="false">
      <c r="A282" s="0" t="s">
        <v>144</v>
      </c>
      <c r="B282" s="0" t="s">
        <v>145</v>
      </c>
      <c r="C282" s="0" t="s">
        <v>81</v>
      </c>
      <c r="D282" s="4" t="n">
        <v>46083</v>
      </c>
      <c r="E282" s="5" t="s">
        <v>26</v>
      </c>
      <c r="F282" s="14" t="n">
        <v>13.71</v>
      </c>
      <c r="G282" s="0" t="n">
        <v>1</v>
      </c>
      <c r="H282" s="6" t="n">
        <v>13.71</v>
      </c>
    </row>
    <row r="283" customFormat="false" ht="15" hidden="false" customHeight="false" outlineLevel="0" collapsed="false">
      <c r="A283" s="0" t="s">
        <v>144</v>
      </c>
      <c r="B283" s="0" t="s">
        <v>145</v>
      </c>
      <c r="C283" s="0" t="s">
        <v>81</v>
      </c>
      <c r="D283" s="4" t="n">
        <v>46097</v>
      </c>
      <c r="E283" s="5" t="s">
        <v>27</v>
      </c>
      <c r="F283" s="14" t="n">
        <v>13.71</v>
      </c>
      <c r="G283" s="0" t="n">
        <v>1</v>
      </c>
      <c r="H283" s="6" t="n">
        <v>13.71</v>
      </c>
    </row>
    <row r="284" customFormat="false" ht="15" hidden="false" customHeight="false" outlineLevel="0" collapsed="false">
      <c r="A284" s="0" t="s">
        <v>144</v>
      </c>
      <c r="B284" s="0" t="s">
        <v>145</v>
      </c>
      <c r="C284" s="0" t="s">
        <v>81</v>
      </c>
      <c r="D284" s="4" t="n">
        <v>46105</v>
      </c>
      <c r="E284" s="5" t="s">
        <v>28</v>
      </c>
      <c r="F284" s="14" t="n">
        <v>13.71</v>
      </c>
      <c r="G284" s="0" t="n">
        <v>1</v>
      </c>
      <c r="H284" s="6" t="n">
        <v>13.71</v>
      </c>
    </row>
    <row r="285" customFormat="false" ht="15" hidden="false" customHeight="false" outlineLevel="0" collapsed="false">
      <c r="A285" s="0" t="s">
        <v>144</v>
      </c>
      <c r="B285" s="0" t="s">
        <v>145</v>
      </c>
      <c r="C285" s="0" t="s">
        <v>81</v>
      </c>
      <c r="D285" s="4" t="n">
        <v>46147</v>
      </c>
      <c r="E285" s="5" t="s">
        <v>32</v>
      </c>
      <c r="F285" s="14" t="n">
        <v>20.45</v>
      </c>
      <c r="G285" s="0" t="n">
        <v>4</v>
      </c>
      <c r="H285" s="6" t="n">
        <v>81.8</v>
      </c>
    </row>
    <row r="286" customFormat="false" ht="15" hidden="false" customHeight="false" outlineLevel="0" collapsed="false">
      <c r="A286" s="0" t="s">
        <v>146</v>
      </c>
      <c r="B286" s="0" t="s">
        <v>147</v>
      </c>
      <c r="C286" s="0" t="s">
        <v>81</v>
      </c>
      <c r="D286" s="4" t="n">
        <v>45967</v>
      </c>
      <c r="E286" s="5" t="s">
        <v>11</v>
      </c>
      <c r="F286" s="14" t="n">
        <v>13.92</v>
      </c>
      <c r="G286" s="0" t="n">
        <v>1</v>
      </c>
      <c r="H286" s="6" t="n">
        <v>13.92</v>
      </c>
    </row>
    <row r="287" customFormat="false" ht="15" hidden="false" customHeight="false" outlineLevel="0" collapsed="false">
      <c r="A287" s="0" t="s">
        <v>146</v>
      </c>
      <c r="B287" s="0" t="s">
        <v>147</v>
      </c>
      <c r="C287" s="0" t="s">
        <v>81</v>
      </c>
      <c r="D287" s="4" t="n">
        <v>45967</v>
      </c>
      <c r="E287" s="5" t="s">
        <v>11</v>
      </c>
      <c r="F287" s="14" t="n">
        <v>13.92</v>
      </c>
      <c r="G287" s="0" t="n">
        <v>1</v>
      </c>
      <c r="H287" s="6" t="n">
        <v>13.92</v>
      </c>
    </row>
    <row r="288" customFormat="false" ht="15" hidden="false" customHeight="false" outlineLevel="0" collapsed="false">
      <c r="A288" s="0" t="s">
        <v>146</v>
      </c>
      <c r="B288" s="0" t="s">
        <v>147</v>
      </c>
      <c r="C288" s="0" t="s">
        <v>81</v>
      </c>
      <c r="D288" s="4" t="n">
        <v>45979</v>
      </c>
      <c r="E288" s="5" t="s">
        <v>13</v>
      </c>
      <c r="F288" s="14" t="n">
        <v>13.92</v>
      </c>
      <c r="G288" s="0" t="n">
        <v>2</v>
      </c>
      <c r="H288" s="6" t="n">
        <v>27.84</v>
      </c>
    </row>
    <row r="289" customFormat="false" ht="15" hidden="false" customHeight="false" outlineLevel="0" collapsed="false">
      <c r="A289" s="22" t="s">
        <v>146</v>
      </c>
      <c r="B289" s="22" t="s">
        <v>147</v>
      </c>
      <c r="C289" s="22" t="s">
        <v>81</v>
      </c>
      <c r="D289" s="21" t="n">
        <v>46083</v>
      </c>
      <c r="E289" s="22" t="s">
        <v>26</v>
      </c>
      <c r="F289" s="16" t="n">
        <v>10.93</v>
      </c>
      <c r="G289" s="22" t="n">
        <v>2</v>
      </c>
      <c r="H289" s="23" t="n">
        <v>21.86</v>
      </c>
      <c r="I289" s="22" t="s">
        <v>387</v>
      </c>
    </row>
    <row r="290" customFormat="false" ht="15" hidden="false" customHeight="false" outlineLevel="0" collapsed="false">
      <c r="A290" s="22" t="s">
        <v>146</v>
      </c>
      <c r="B290" s="22" t="s">
        <v>147</v>
      </c>
      <c r="C290" s="22" t="s">
        <v>81</v>
      </c>
      <c r="D290" s="21" t="n">
        <v>46097</v>
      </c>
      <c r="E290" s="22" t="s">
        <v>27</v>
      </c>
      <c r="F290" s="16" t="n">
        <v>10.93</v>
      </c>
      <c r="G290" s="22" t="n">
        <v>2</v>
      </c>
      <c r="H290" s="23" t="n">
        <v>21.86</v>
      </c>
      <c r="I290" s="22" t="s">
        <v>387</v>
      </c>
    </row>
    <row r="291" customFormat="false" ht="15" hidden="false" customHeight="false" outlineLevel="0" collapsed="false">
      <c r="A291" s="0" t="s">
        <v>146</v>
      </c>
      <c r="B291" s="0" t="s">
        <v>147</v>
      </c>
      <c r="C291" s="0" t="s">
        <v>81</v>
      </c>
      <c r="D291" s="4" t="n">
        <v>46125</v>
      </c>
      <c r="E291" s="5" t="s">
        <v>31</v>
      </c>
      <c r="F291" s="14" t="n">
        <v>18.53</v>
      </c>
      <c r="G291" s="0" t="n">
        <v>4</v>
      </c>
      <c r="H291" s="6" t="n">
        <v>74.12</v>
      </c>
    </row>
    <row r="292" customFormat="false" ht="15" hidden="false" customHeight="false" outlineLevel="0" collapsed="false">
      <c r="A292" s="0" t="s">
        <v>148</v>
      </c>
      <c r="B292" s="0" t="s">
        <v>149</v>
      </c>
      <c r="C292" s="0" t="s">
        <v>81</v>
      </c>
      <c r="D292" s="4" t="n">
        <v>45967</v>
      </c>
      <c r="E292" s="5" t="s">
        <v>11</v>
      </c>
      <c r="F292" s="14" t="n">
        <v>12.91</v>
      </c>
      <c r="G292" s="0" t="n">
        <v>1</v>
      </c>
      <c r="H292" s="6" t="n">
        <v>12.91</v>
      </c>
    </row>
    <row r="293" customFormat="false" ht="15" hidden="false" customHeight="false" outlineLevel="0" collapsed="false">
      <c r="A293" s="0" t="s">
        <v>148</v>
      </c>
      <c r="B293" s="0" t="s">
        <v>149</v>
      </c>
      <c r="C293" s="0" t="s">
        <v>81</v>
      </c>
      <c r="D293" s="4" t="n">
        <v>45967</v>
      </c>
      <c r="E293" s="5" t="s">
        <v>11</v>
      </c>
      <c r="F293" s="14" t="n">
        <v>12.91</v>
      </c>
      <c r="G293" s="0" t="n">
        <v>1</v>
      </c>
      <c r="H293" s="6" t="n">
        <v>12.91</v>
      </c>
    </row>
    <row r="294" customFormat="false" ht="15" hidden="false" customHeight="false" outlineLevel="0" collapsed="false">
      <c r="A294" s="0" t="s">
        <v>148</v>
      </c>
      <c r="B294" s="0" t="s">
        <v>149</v>
      </c>
      <c r="C294" s="0" t="s">
        <v>81</v>
      </c>
      <c r="D294" s="4" t="n">
        <v>45979</v>
      </c>
      <c r="E294" s="5" t="s">
        <v>13</v>
      </c>
      <c r="F294" s="14" t="n">
        <v>12.91</v>
      </c>
      <c r="G294" s="0" t="n">
        <v>1</v>
      </c>
      <c r="H294" s="6" t="n">
        <v>12.91</v>
      </c>
    </row>
    <row r="295" customFormat="false" ht="15" hidden="false" customHeight="false" outlineLevel="0" collapsed="false">
      <c r="A295" s="0" t="s">
        <v>148</v>
      </c>
      <c r="B295" s="0" t="s">
        <v>149</v>
      </c>
      <c r="C295" s="0" t="s">
        <v>81</v>
      </c>
      <c r="D295" s="4" t="n">
        <v>45979</v>
      </c>
      <c r="E295" s="5" t="s">
        <v>13</v>
      </c>
      <c r="F295" s="14" t="n">
        <v>12.91</v>
      </c>
      <c r="G295" s="0" t="n">
        <v>1</v>
      </c>
      <c r="H295" s="6" t="n">
        <v>12.91</v>
      </c>
    </row>
    <row r="296" customFormat="false" ht="15" hidden="false" customHeight="false" outlineLevel="0" collapsed="false">
      <c r="A296" s="0" t="s">
        <v>148</v>
      </c>
      <c r="B296" s="0" t="s">
        <v>149</v>
      </c>
      <c r="C296" s="0" t="s">
        <v>81</v>
      </c>
      <c r="D296" s="4" t="n">
        <v>45979</v>
      </c>
      <c r="E296" s="5" t="s">
        <v>13</v>
      </c>
      <c r="F296" s="14" t="n">
        <v>12.91</v>
      </c>
      <c r="G296" s="0" t="n">
        <v>1</v>
      </c>
      <c r="H296" s="6" t="n">
        <v>12.91</v>
      </c>
    </row>
    <row r="297" customFormat="false" ht="15" hidden="false" customHeight="false" outlineLevel="0" collapsed="false">
      <c r="A297" s="22" t="s">
        <v>148</v>
      </c>
      <c r="B297" s="22" t="s">
        <v>149</v>
      </c>
      <c r="C297" s="22" t="s">
        <v>81</v>
      </c>
      <c r="D297" s="21" t="n">
        <v>46000</v>
      </c>
      <c r="E297" s="22" t="s">
        <v>19</v>
      </c>
      <c r="F297" s="16" t="n">
        <v>10.13</v>
      </c>
      <c r="G297" s="22" t="n">
        <v>1</v>
      </c>
      <c r="H297" s="23" t="n">
        <v>10.13</v>
      </c>
      <c r="I297" s="22" t="s">
        <v>387</v>
      </c>
    </row>
    <row r="298" customFormat="false" ht="15" hidden="false" customHeight="false" outlineLevel="0" collapsed="false">
      <c r="A298" s="22" t="s">
        <v>148</v>
      </c>
      <c r="B298" s="22" t="s">
        <v>149</v>
      </c>
      <c r="C298" s="22" t="s">
        <v>81</v>
      </c>
      <c r="D298" s="21" t="n">
        <v>46000</v>
      </c>
      <c r="E298" s="22" t="s">
        <v>19</v>
      </c>
      <c r="F298" s="16" t="n">
        <v>10.13</v>
      </c>
      <c r="G298" s="22" t="n">
        <v>1</v>
      </c>
      <c r="H298" s="23" t="n">
        <v>10.13</v>
      </c>
      <c r="I298" s="22" t="s">
        <v>387</v>
      </c>
    </row>
    <row r="299" customFormat="false" ht="15" hidden="false" customHeight="false" outlineLevel="0" collapsed="false">
      <c r="A299" s="22" t="s">
        <v>148</v>
      </c>
      <c r="B299" s="22" t="s">
        <v>149</v>
      </c>
      <c r="C299" s="22" t="s">
        <v>81</v>
      </c>
      <c r="D299" s="21" t="n">
        <v>46000</v>
      </c>
      <c r="E299" s="22" t="s">
        <v>19</v>
      </c>
      <c r="F299" s="16" t="n">
        <v>10.13</v>
      </c>
      <c r="G299" s="22" t="n">
        <v>1</v>
      </c>
      <c r="H299" s="23" t="n">
        <v>10.13</v>
      </c>
      <c r="I299" s="22" t="s">
        <v>387</v>
      </c>
    </row>
    <row r="300" customFormat="false" ht="15" hidden="false" customHeight="false" outlineLevel="0" collapsed="false">
      <c r="A300" s="22" t="s">
        <v>148</v>
      </c>
      <c r="B300" s="22" t="s">
        <v>149</v>
      </c>
      <c r="C300" s="22" t="s">
        <v>81</v>
      </c>
      <c r="D300" s="21" t="n">
        <v>46007</v>
      </c>
      <c r="E300" s="22" t="s">
        <v>22</v>
      </c>
      <c r="F300" s="16" t="n">
        <v>10.13</v>
      </c>
      <c r="G300" s="22" t="n">
        <v>2</v>
      </c>
      <c r="H300" s="23" t="n">
        <v>20.26</v>
      </c>
      <c r="I300" s="22" t="s">
        <v>387</v>
      </c>
    </row>
    <row r="301" customFormat="false" ht="15" hidden="false" customHeight="false" outlineLevel="0" collapsed="false">
      <c r="A301" s="22" t="s">
        <v>148</v>
      </c>
      <c r="B301" s="22" t="s">
        <v>149</v>
      </c>
      <c r="C301" s="22" t="s">
        <v>81</v>
      </c>
      <c r="D301" s="21" t="n">
        <v>46083</v>
      </c>
      <c r="E301" s="22" t="s">
        <v>26</v>
      </c>
      <c r="F301" s="16" t="n">
        <v>10.13</v>
      </c>
      <c r="G301" s="22" t="n">
        <v>5</v>
      </c>
      <c r="H301" s="23" t="n">
        <v>50.65</v>
      </c>
      <c r="I301" s="22" t="s">
        <v>387</v>
      </c>
    </row>
    <row r="302" customFormat="false" ht="15" hidden="false" customHeight="false" outlineLevel="0" collapsed="false">
      <c r="A302" s="22" t="s">
        <v>148</v>
      </c>
      <c r="B302" s="22" t="s">
        <v>149</v>
      </c>
      <c r="C302" s="22" t="s">
        <v>81</v>
      </c>
      <c r="D302" s="21" t="n">
        <v>46097</v>
      </c>
      <c r="E302" s="22" t="s">
        <v>27</v>
      </c>
      <c r="F302" s="16" t="n">
        <v>10.13</v>
      </c>
      <c r="G302" s="22" t="n">
        <v>4</v>
      </c>
      <c r="H302" s="23" t="n">
        <v>40.52</v>
      </c>
      <c r="I302" s="22" t="s">
        <v>387</v>
      </c>
    </row>
    <row r="303" customFormat="false" ht="15" hidden="false" customHeight="false" outlineLevel="0" collapsed="false">
      <c r="A303" s="0" t="s">
        <v>148</v>
      </c>
      <c r="B303" s="0" t="s">
        <v>149</v>
      </c>
      <c r="C303" s="0" t="s">
        <v>81</v>
      </c>
      <c r="D303" s="4" t="n">
        <v>46125</v>
      </c>
      <c r="E303" s="5" t="s">
        <v>31</v>
      </c>
      <c r="F303" s="14" t="n">
        <v>19.26</v>
      </c>
      <c r="G303" s="0" t="n">
        <v>7</v>
      </c>
      <c r="H303" s="6" t="n">
        <v>134.82</v>
      </c>
    </row>
    <row r="304" customFormat="false" ht="15" hidden="false" customHeight="false" outlineLevel="0" collapsed="false">
      <c r="A304" s="0" t="s">
        <v>319</v>
      </c>
      <c r="B304" s="0" t="s">
        <v>320</v>
      </c>
      <c r="C304" s="0" t="s">
        <v>81</v>
      </c>
      <c r="D304" s="4" t="n">
        <v>46120</v>
      </c>
      <c r="E304" s="5" t="s">
        <v>30</v>
      </c>
      <c r="F304" s="14" t="n">
        <v>9.29</v>
      </c>
      <c r="G304" s="0" t="n">
        <v>1</v>
      </c>
      <c r="H304" s="6" t="n">
        <v>15.59</v>
      </c>
    </row>
    <row r="305" customFormat="false" ht="15" hidden="false" customHeight="false" outlineLevel="0" collapsed="false">
      <c r="A305" s="0" t="s">
        <v>319</v>
      </c>
      <c r="B305" s="0" t="s">
        <v>320</v>
      </c>
      <c r="C305" s="0" t="s">
        <v>81</v>
      </c>
      <c r="D305" s="4" t="n">
        <v>46120</v>
      </c>
      <c r="E305" s="5" t="s">
        <v>30</v>
      </c>
      <c r="F305" s="14" t="n">
        <v>9.29</v>
      </c>
      <c r="G305" s="0" t="n">
        <v>1</v>
      </c>
      <c r="H305" s="6" t="n">
        <v>15.59</v>
      </c>
    </row>
    <row r="306" customFormat="false" ht="15" hidden="false" customHeight="false" outlineLevel="0" collapsed="false">
      <c r="A306" s="22" t="s">
        <v>150</v>
      </c>
      <c r="B306" s="22" t="s">
        <v>151</v>
      </c>
      <c r="C306" s="22" t="s">
        <v>81</v>
      </c>
      <c r="D306" s="21" t="n">
        <v>45967</v>
      </c>
      <c r="E306" s="22" t="s">
        <v>11</v>
      </c>
      <c r="F306" s="16" t="n">
        <v>15.4</v>
      </c>
      <c r="G306" s="22" t="n">
        <v>1</v>
      </c>
      <c r="H306" s="23" t="n">
        <v>15.4</v>
      </c>
      <c r="I306" s="22" t="s">
        <v>387</v>
      </c>
    </row>
    <row r="307" customFormat="false" ht="15" hidden="false" customHeight="false" outlineLevel="0" collapsed="false">
      <c r="A307" s="22" t="s">
        <v>150</v>
      </c>
      <c r="B307" s="22" t="s">
        <v>151</v>
      </c>
      <c r="C307" s="22" t="s">
        <v>81</v>
      </c>
      <c r="D307" s="21" t="n">
        <v>46105</v>
      </c>
      <c r="E307" s="22" t="s">
        <v>28</v>
      </c>
      <c r="F307" s="16" t="n">
        <v>16.2</v>
      </c>
      <c r="G307" s="22" t="n">
        <v>2</v>
      </c>
      <c r="H307" s="23" t="n">
        <v>32.4</v>
      </c>
      <c r="I307" s="22" t="s">
        <v>387</v>
      </c>
    </row>
    <row r="308" customFormat="false" ht="15" hidden="false" customHeight="false" outlineLevel="0" collapsed="false">
      <c r="A308" s="22" t="s">
        <v>150</v>
      </c>
      <c r="B308" s="22" t="s">
        <v>151</v>
      </c>
      <c r="C308" s="22" t="s">
        <v>81</v>
      </c>
      <c r="D308" s="21" t="n">
        <v>46147</v>
      </c>
      <c r="E308" s="22" t="s">
        <v>32</v>
      </c>
      <c r="F308" s="16" t="n">
        <v>20.98</v>
      </c>
      <c r="G308" s="22" t="n">
        <v>1</v>
      </c>
      <c r="H308" s="23" t="n">
        <v>20.98</v>
      </c>
      <c r="I308" s="22" t="s">
        <v>387</v>
      </c>
    </row>
    <row r="309" customFormat="false" ht="15" hidden="false" customHeight="false" outlineLevel="0" collapsed="false">
      <c r="A309" s="22" t="s">
        <v>84</v>
      </c>
      <c r="B309" s="22" t="s">
        <v>85</v>
      </c>
      <c r="C309" s="22" t="s">
        <v>81</v>
      </c>
      <c r="D309" s="21" t="n">
        <v>45967</v>
      </c>
      <c r="E309" s="22" t="s">
        <v>11</v>
      </c>
      <c r="F309" s="16" t="n">
        <v>14.03</v>
      </c>
      <c r="G309" s="22" t="n">
        <v>3</v>
      </c>
      <c r="H309" s="23" t="n">
        <v>42.09</v>
      </c>
      <c r="I309" s="22" t="s">
        <v>387</v>
      </c>
    </row>
    <row r="310" customFormat="false" ht="15" hidden="false" customHeight="false" outlineLevel="0" collapsed="false">
      <c r="A310" s="22" t="s">
        <v>84</v>
      </c>
      <c r="B310" s="22" t="s">
        <v>85</v>
      </c>
      <c r="C310" s="22" t="s">
        <v>81</v>
      </c>
      <c r="D310" s="21" t="n">
        <v>45979</v>
      </c>
      <c r="E310" s="22" t="s">
        <v>13</v>
      </c>
      <c r="F310" s="16" t="n">
        <v>14.03</v>
      </c>
      <c r="G310" s="22" t="n">
        <v>2</v>
      </c>
      <c r="H310" s="23" t="n">
        <v>28.06</v>
      </c>
      <c r="I310" s="22" t="s">
        <v>387</v>
      </c>
    </row>
    <row r="311" customFormat="false" ht="15" hidden="false" customHeight="false" outlineLevel="0" collapsed="false">
      <c r="A311" s="0" t="s">
        <v>84</v>
      </c>
      <c r="B311" s="0" t="s">
        <v>85</v>
      </c>
      <c r="C311" s="0" t="s">
        <v>81</v>
      </c>
      <c r="D311" s="4" t="n">
        <v>46000</v>
      </c>
      <c r="E311" s="5" t="s">
        <v>19</v>
      </c>
      <c r="F311" s="14" t="n">
        <v>16.83</v>
      </c>
      <c r="G311" s="0" t="n">
        <v>2</v>
      </c>
      <c r="H311" s="6" t="n">
        <v>33.66</v>
      </c>
    </row>
    <row r="312" customFormat="false" ht="15" hidden="false" customHeight="false" outlineLevel="0" collapsed="false">
      <c r="A312" s="0" t="s">
        <v>84</v>
      </c>
      <c r="B312" s="0" t="s">
        <v>85</v>
      </c>
      <c r="C312" s="0" t="s">
        <v>81</v>
      </c>
      <c r="D312" s="4" t="n">
        <v>46007</v>
      </c>
      <c r="E312" s="5" t="s">
        <v>22</v>
      </c>
      <c r="F312" s="14" t="n">
        <v>16.83</v>
      </c>
      <c r="G312" s="0" t="n">
        <v>1</v>
      </c>
      <c r="H312" s="6" t="n">
        <v>16.83</v>
      </c>
    </row>
    <row r="313" customFormat="false" ht="15" hidden="false" customHeight="false" outlineLevel="0" collapsed="false">
      <c r="A313" s="0" t="s">
        <v>84</v>
      </c>
      <c r="B313" s="0" t="s">
        <v>85</v>
      </c>
      <c r="C313" s="0" t="s">
        <v>81</v>
      </c>
      <c r="D313" s="4" t="n">
        <v>46007</v>
      </c>
      <c r="E313" s="5" t="s">
        <v>22</v>
      </c>
      <c r="F313" s="14" t="n">
        <v>16.83</v>
      </c>
      <c r="G313" s="0" t="n">
        <v>3</v>
      </c>
      <c r="H313" s="6" t="n">
        <v>50.49</v>
      </c>
    </row>
    <row r="314" customFormat="false" ht="15" hidden="false" customHeight="false" outlineLevel="0" collapsed="false">
      <c r="A314" s="22" t="s">
        <v>84</v>
      </c>
      <c r="B314" s="22" t="s">
        <v>85</v>
      </c>
      <c r="C314" s="22" t="s">
        <v>81</v>
      </c>
      <c r="D314" s="21" t="n">
        <v>46097</v>
      </c>
      <c r="E314" s="22" t="s">
        <v>27</v>
      </c>
      <c r="F314" s="16" t="n">
        <v>14.71</v>
      </c>
      <c r="G314" s="22" t="n">
        <v>3</v>
      </c>
      <c r="H314" s="23" t="n">
        <v>44.13</v>
      </c>
      <c r="I314" s="22" t="s">
        <v>387</v>
      </c>
    </row>
    <row r="315" customFormat="false" ht="15" hidden="false" customHeight="false" outlineLevel="0" collapsed="false">
      <c r="A315" s="22" t="s">
        <v>84</v>
      </c>
      <c r="B315" s="22" t="s">
        <v>85</v>
      </c>
      <c r="C315" s="22" t="s">
        <v>81</v>
      </c>
      <c r="D315" s="21" t="n">
        <v>46105</v>
      </c>
      <c r="E315" s="22" t="s">
        <v>28</v>
      </c>
      <c r="F315" s="16" t="n">
        <v>14.71</v>
      </c>
      <c r="G315" s="22" t="n">
        <v>4</v>
      </c>
      <c r="H315" s="23" t="n">
        <v>58.84</v>
      </c>
      <c r="I315" s="22" t="s">
        <v>387</v>
      </c>
    </row>
    <row r="316" customFormat="false" ht="15" hidden="false" customHeight="false" outlineLevel="0" collapsed="false">
      <c r="A316" s="0" t="s">
        <v>84</v>
      </c>
      <c r="B316" s="0" t="s">
        <v>85</v>
      </c>
      <c r="C316" s="0" t="s">
        <v>81</v>
      </c>
      <c r="D316" s="4" t="n">
        <v>46125</v>
      </c>
      <c r="E316" s="5" t="s">
        <v>31</v>
      </c>
      <c r="F316" s="14" t="n">
        <v>22.03</v>
      </c>
      <c r="G316" s="0" t="n">
        <v>5</v>
      </c>
      <c r="H316" s="6" t="n">
        <v>110.15</v>
      </c>
    </row>
    <row r="317" customFormat="false" ht="15" hidden="false" customHeight="false" outlineLevel="0" collapsed="false">
      <c r="A317" s="22" t="s">
        <v>84</v>
      </c>
      <c r="B317" s="22" t="s">
        <v>85</v>
      </c>
      <c r="C317" s="22" t="s">
        <v>81</v>
      </c>
      <c r="D317" s="21" t="n">
        <v>46147</v>
      </c>
      <c r="E317" s="22" t="s">
        <v>32</v>
      </c>
      <c r="F317" s="16" t="n">
        <v>18.78</v>
      </c>
      <c r="G317" s="22" t="n">
        <v>2</v>
      </c>
      <c r="H317" s="23" t="n">
        <v>37.56</v>
      </c>
      <c r="I317" s="22" t="s">
        <v>387</v>
      </c>
    </row>
    <row r="318" customFormat="false" ht="15" hidden="false" customHeight="false" outlineLevel="0" collapsed="false">
      <c r="A318" s="22" t="s">
        <v>86</v>
      </c>
      <c r="B318" s="22" t="s">
        <v>87</v>
      </c>
      <c r="C318" s="22" t="s">
        <v>81</v>
      </c>
      <c r="D318" s="21" t="n">
        <v>45967</v>
      </c>
      <c r="E318" s="22" t="s">
        <v>11</v>
      </c>
      <c r="F318" s="16" t="n">
        <v>14.03</v>
      </c>
      <c r="G318" s="22" t="n">
        <v>3</v>
      </c>
      <c r="H318" s="23" t="n">
        <v>42.09</v>
      </c>
      <c r="I318" s="22" t="s">
        <v>387</v>
      </c>
    </row>
    <row r="319" customFormat="false" ht="15" hidden="false" customHeight="false" outlineLevel="0" collapsed="false">
      <c r="A319" s="22" t="s">
        <v>86</v>
      </c>
      <c r="B319" s="22" t="s">
        <v>87</v>
      </c>
      <c r="C319" s="22" t="s">
        <v>81</v>
      </c>
      <c r="D319" s="21" t="n">
        <v>45979</v>
      </c>
      <c r="E319" s="22" t="s">
        <v>13</v>
      </c>
      <c r="F319" s="16" t="n">
        <v>14.03</v>
      </c>
      <c r="G319" s="22" t="n">
        <v>2</v>
      </c>
      <c r="H319" s="23" t="n">
        <v>28.06</v>
      </c>
      <c r="I319" s="22" t="s">
        <v>387</v>
      </c>
    </row>
    <row r="320" customFormat="false" ht="15" hidden="false" customHeight="false" outlineLevel="0" collapsed="false">
      <c r="A320" s="0" t="s">
        <v>86</v>
      </c>
      <c r="B320" s="0" t="s">
        <v>87</v>
      </c>
      <c r="C320" s="0" t="s">
        <v>81</v>
      </c>
      <c r="D320" s="4" t="n">
        <v>46000</v>
      </c>
      <c r="E320" s="5" t="s">
        <v>19</v>
      </c>
      <c r="F320" s="14" t="n">
        <v>16.83</v>
      </c>
      <c r="G320" s="0" t="n">
        <v>2</v>
      </c>
      <c r="H320" s="6" t="n">
        <v>33.66</v>
      </c>
    </row>
    <row r="321" customFormat="false" ht="15" hidden="false" customHeight="false" outlineLevel="0" collapsed="false">
      <c r="A321" s="0" t="s">
        <v>86</v>
      </c>
      <c r="B321" s="0" t="s">
        <v>87</v>
      </c>
      <c r="C321" s="0" t="s">
        <v>81</v>
      </c>
      <c r="D321" s="4" t="n">
        <v>46007</v>
      </c>
      <c r="E321" s="5" t="s">
        <v>22</v>
      </c>
      <c r="F321" s="14" t="n">
        <v>16.83</v>
      </c>
      <c r="G321" s="0" t="n">
        <v>2</v>
      </c>
      <c r="H321" s="6" t="n">
        <v>33.66</v>
      </c>
    </row>
    <row r="322" customFormat="false" ht="15" hidden="false" customHeight="false" outlineLevel="0" collapsed="false">
      <c r="A322" s="22" t="s">
        <v>86</v>
      </c>
      <c r="B322" s="22" t="s">
        <v>87</v>
      </c>
      <c r="C322" s="22" t="s">
        <v>81</v>
      </c>
      <c r="D322" s="21" t="n">
        <v>46083</v>
      </c>
      <c r="E322" s="22" t="s">
        <v>26</v>
      </c>
      <c r="F322" s="16" t="n">
        <v>14.73</v>
      </c>
      <c r="G322" s="22" t="n">
        <v>2</v>
      </c>
      <c r="H322" s="23" t="n">
        <v>29.46</v>
      </c>
      <c r="I322" s="22" t="s">
        <v>387</v>
      </c>
    </row>
    <row r="323" customFormat="false" ht="15" hidden="false" customHeight="false" outlineLevel="0" collapsed="false">
      <c r="A323" s="22" t="s">
        <v>86</v>
      </c>
      <c r="B323" s="22" t="s">
        <v>87</v>
      </c>
      <c r="C323" s="22" t="s">
        <v>81</v>
      </c>
      <c r="D323" s="21" t="n">
        <v>46097</v>
      </c>
      <c r="E323" s="22" t="s">
        <v>27</v>
      </c>
      <c r="F323" s="16" t="n">
        <v>14.73</v>
      </c>
      <c r="G323" s="22" t="n">
        <v>1</v>
      </c>
      <c r="H323" s="23" t="n">
        <v>14.73</v>
      </c>
      <c r="I323" s="22" t="s">
        <v>387</v>
      </c>
    </row>
    <row r="324" customFormat="false" ht="15" hidden="false" customHeight="false" outlineLevel="0" collapsed="false">
      <c r="A324" s="22" t="s">
        <v>86</v>
      </c>
      <c r="B324" s="22" t="s">
        <v>87</v>
      </c>
      <c r="C324" s="22" t="s">
        <v>81</v>
      </c>
      <c r="D324" s="21" t="n">
        <v>46105</v>
      </c>
      <c r="E324" s="22" t="s">
        <v>28</v>
      </c>
      <c r="F324" s="16" t="n">
        <v>14.73</v>
      </c>
      <c r="G324" s="22" t="n">
        <v>4</v>
      </c>
      <c r="H324" s="23" t="n">
        <v>58.92</v>
      </c>
      <c r="I324" s="22" t="s">
        <v>387</v>
      </c>
    </row>
    <row r="325" customFormat="false" ht="15" hidden="false" customHeight="false" outlineLevel="0" collapsed="false">
      <c r="A325" s="0" t="s">
        <v>86</v>
      </c>
      <c r="B325" s="0" t="s">
        <v>87</v>
      </c>
      <c r="C325" s="0" t="s">
        <v>81</v>
      </c>
      <c r="D325" s="4" t="n">
        <v>46125</v>
      </c>
      <c r="E325" s="5" t="s">
        <v>31</v>
      </c>
      <c r="F325" s="14" t="n">
        <v>22.12</v>
      </c>
      <c r="G325" s="0" t="n">
        <v>5</v>
      </c>
      <c r="H325" s="6" t="n">
        <v>110.6</v>
      </c>
    </row>
    <row r="326" customFormat="false" ht="15" hidden="false" customHeight="false" outlineLevel="0" collapsed="false">
      <c r="A326" s="22" t="s">
        <v>86</v>
      </c>
      <c r="B326" s="22" t="s">
        <v>87</v>
      </c>
      <c r="C326" s="22" t="s">
        <v>81</v>
      </c>
      <c r="D326" s="21" t="n">
        <v>46147</v>
      </c>
      <c r="E326" s="22" t="s">
        <v>32</v>
      </c>
      <c r="F326" s="16" t="n">
        <v>18.43</v>
      </c>
      <c r="G326" s="22" t="n">
        <v>2</v>
      </c>
      <c r="H326" s="23" t="n">
        <v>36.86</v>
      </c>
      <c r="I326" s="22" t="s">
        <v>387</v>
      </c>
    </row>
    <row r="327" customFormat="false" ht="15" hidden="false" customHeight="false" outlineLevel="0" collapsed="false">
      <c r="A327" s="22" t="s">
        <v>88</v>
      </c>
      <c r="B327" s="22" t="s">
        <v>89</v>
      </c>
      <c r="C327" s="22" t="s">
        <v>81</v>
      </c>
      <c r="D327" s="21" t="n">
        <v>45967</v>
      </c>
      <c r="E327" s="22" t="s">
        <v>11</v>
      </c>
      <c r="F327" s="16" t="n">
        <v>12.75</v>
      </c>
      <c r="G327" s="22" t="n">
        <v>1</v>
      </c>
      <c r="H327" s="23" t="n">
        <v>12.75</v>
      </c>
      <c r="I327" s="22" t="s">
        <v>387</v>
      </c>
    </row>
    <row r="328" customFormat="false" ht="15" hidden="false" customHeight="false" outlineLevel="0" collapsed="false">
      <c r="A328" s="22" t="s">
        <v>88</v>
      </c>
      <c r="B328" s="22" t="s">
        <v>89</v>
      </c>
      <c r="C328" s="22" t="s">
        <v>81</v>
      </c>
      <c r="D328" s="21" t="n">
        <v>45967</v>
      </c>
      <c r="E328" s="22" t="s">
        <v>11</v>
      </c>
      <c r="F328" s="16" t="n">
        <v>12.75</v>
      </c>
      <c r="G328" s="22" t="n">
        <v>2</v>
      </c>
      <c r="H328" s="23" t="n">
        <v>25.5</v>
      </c>
      <c r="I328" s="22" t="s">
        <v>387</v>
      </c>
    </row>
    <row r="329" customFormat="false" ht="15" hidden="false" customHeight="false" outlineLevel="0" collapsed="false">
      <c r="A329" s="22" t="s">
        <v>88</v>
      </c>
      <c r="B329" s="22" t="s">
        <v>89</v>
      </c>
      <c r="C329" s="22" t="s">
        <v>81</v>
      </c>
      <c r="D329" s="21" t="n">
        <v>45979</v>
      </c>
      <c r="E329" s="22" t="s">
        <v>13</v>
      </c>
      <c r="F329" s="16" t="n">
        <v>12.75</v>
      </c>
      <c r="G329" s="22" t="n">
        <v>2</v>
      </c>
      <c r="H329" s="23" t="n">
        <v>25.5</v>
      </c>
      <c r="I329" s="22" t="s">
        <v>387</v>
      </c>
    </row>
    <row r="330" customFormat="false" ht="15" hidden="false" customHeight="false" outlineLevel="0" collapsed="false">
      <c r="A330" s="22" t="s">
        <v>88</v>
      </c>
      <c r="B330" s="22" t="s">
        <v>89</v>
      </c>
      <c r="C330" s="22" t="s">
        <v>81</v>
      </c>
      <c r="D330" s="21" t="n">
        <v>45986</v>
      </c>
      <c r="E330" s="22" t="s">
        <v>17</v>
      </c>
      <c r="F330" s="16" t="n">
        <v>12.75</v>
      </c>
      <c r="G330" s="22" t="n">
        <v>5</v>
      </c>
      <c r="H330" s="23" t="n">
        <v>63.75</v>
      </c>
      <c r="I330" s="22" t="s">
        <v>387</v>
      </c>
    </row>
    <row r="331" customFormat="false" ht="15" hidden="false" customHeight="false" outlineLevel="0" collapsed="false">
      <c r="A331" s="0" t="s">
        <v>88</v>
      </c>
      <c r="B331" s="0" t="s">
        <v>89</v>
      </c>
      <c r="C331" s="0" t="s">
        <v>81</v>
      </c>
      <c r="D331" s="4" t="n">
        <v>46000</v>
      </c>
      <c r="E331" s="5" t="s">
        <v>19</v>
      </c>
      <c r="F331" s="14" t="n">
        <v>15.3</v>
      </c>
      <c r="G331" s="0" t="n">
        <v>1</v>
      </c>
      <c r="H331" s="6" t="n">
        <v>15.3</v>
      </c>
    </row>
    <row r="332" customFormat="false" ht="15" hidden="false" customHeight="false" outlineLevel="0" collapsed="false">
      <c r="A332" s="0" t="s">
        <v>88</v>
      </c>
      <c r="B332" s="0" t="s">
        <v>89</v>
      </c>
      <c r="C332" s="0" t="s">
        <v>81</v>
      </c>
      <c r="D332" s="4" t="n">
        <v>46000</v>
      </c>
      <c r="E332" s="5" t="s">
        <v>19</v>
      </c>
      <c r="F332" s="14" t="n">
        <v>15.3</v>
      </c>
      <c r="G332" s="0" t="n">
        <v>2</v>
      </c>
      <c r="H332" s="6" t="n">
        <v>30.6</v>
      </c>
    </row>
    <row r="333" customFormat="false" ht="15" hidden="false" customHeight="false" outlineLevel="0" collapsed="false">
      <c r="A333" s="0" t="s">
        <v>88</v>
      </c>
      <c r="B333" s="0" t="s">
        <v>89</v>
      </c>
      <c r="C333" s="0" t="s">
        <v>81</v>
      </c>
      <c r="D333" s="4" t="n">
        <v>46007</v>
      </c>
      <c r="E333" s="5" t="s">
        <v>22</v>
      </c>
      <c r="F333" s="14" t="n">
        <v>15.3</v>
      </c>
      <c r="G333" s="0" t="n">
        <v>1</v>
      </c>
      <c r="H333" s="6" t="n">
        <v>15.3</v>
      </c>
    </row>
    <row r="334" customFormat="false" ht="15" hidden="false" customHeight="false" outlineLevel="0" collapsed="false">
      <c r="A334" s="0" t="s">
        <v>88</v>
      </c>
      <c r="B334" s="0" t="s">
        <v>89</v>
      </c>
      <c r="C334" s="0" t="s">
        <v>81</v>
      </c>
      <c r="D334" s="4" t="n">
        <v>46007</v>
      </c>
      <c r="E334" s="5" t="s">
        <v>22</v>
      </c>
      <c r="F334" s="14" t="n">
        <v>15.3</v>
      </c>
      <c r="G334" s="0" t="n">
        <v>3</v>
      </c>
      <c r="H334" s="6" t="n">
        <v>45.9</v>
      </c>
    </row>
    <row r="335" customFormat="false" ht="15" hidden="false" customHeight="false" outlineLevel="0" collapsed="false">
      <c r="A335" s="22" t="s">
        <v>88</v>
      </c>
      <c r="B335" s="22" t="s">
        <v>89</v>
      </c>
      <c r="C335" s="22" t="s">
        <v>81</v>
      </c>
      <c r="D335" s="21" t="n">
        <v>46083</v>
      </c>
      <c r="E335" s="22" t="s">
        <v>26</v>
      </c>
      <c r="F335" s="16" t="n">
        <v>12.88</v>
      </c>
      <c r="G335" s="22" t="n">
        <v>1</v>
      </c>
      <c r="H335" s="23" t="n">
        <v>12.88</v>
      </c>
      <c r="I335" s="22" t="s">
        <v>387</v>
      </c>
    </row>
    <row r="336" customFormat="false" ht="15" hidden="false" customHeight="false" outlineLevel="0" collapsed="false">
      <c r="A336" s="22" t="s">
        <v>88</v>
      </c>
      <c r="B336" s="22" t="s">
        <v>89</v>
      </c>
      <c r="C336" s="22" t="s">
        <v>81</v>
      </c>
      <c r="D336" s="21" t="n">
        <v>46097</v>
      </c>
      <c r="E336" s="22" t="s">
        <v>27</v>
      </c>
      <c r="F336" s="16" t="n">
        <v>12.88</v>
      </c>
      <c r="G336" s="22" t="n">
        <v>5</v>
      </c>
      <c r="H336" s="23" t="n">
        <v>64.4</v>
      </c>
      <c r="I336" s="22" t="s">
        <v>387</v>
      </c>
    </row>
    <row r="337" customFormat="false" ht="15" hidden="false" customHeight="false" outlineLevel="0" collapsed="false">
      <c r="A337" s="22" t="s">
        <v>88</v>
      </c>
      <c r="B337" s="22" t="s">
        <v>89</v>
      </c>
      <c r="C337" s="22" t="s">
        <v>81</v>
      </c>
      <c r="D337" s="21" t="n">
        <v>46105</v>
      </c>
      <c r="E337" s="22" t="s">
        <v>28</v>
      </c>
      <c r="F337" s="16" t="n">
        <v>12.88</v>
      </c>
      <c r="G337" s="22" t="n">
        <v>4</v>
      </c>
      <c r="H337" s="23" t="n">
        <v>51.52</v>
      </c>
      <c r="I337" s="22" t="s">
        <v>387</v>
      </c>
    </row>
    <row r="338" customFormat="false" ht="15" hidden="false" customHeight="false" outlineLevel="0" collapsed="false">
      <c r="A338" s="0" t="s">
        <v>88</v>
      </c>
      <c r="B338" s="0" t="s">
        <v>89</v>
      </c>
      <c r="C338" s="0" t="s">
        <v>81</v>
      </c>
      <c r="D338" s="4" t="n">
        <v>46125</v>
      </c>
      <c r="E338" s="5" t="s">
        <v>31</v>
      </c>
      <c r="F338" s="14" t="n">
        <v>19.32</v>
      </c>
      <c r="G338" s="0" t="n">
        <v>3</v>
      </c>
      <c r="H338" s="6" t="n">
        <v>57.96</v>
      </c>
    </row>
    <row r="339" customFormat="false" ht="15" hidden="false" customHeight="false" outlineLevel="0" collapsed="false">
      <c r="A339" s="22" t="s">
        <v>88</v>
      </c>
      <c r="B339" s="22" t="s">
        <v>89</v>
      </c>
      <c r="C339" s="22" t="s">
        <v>81</v>
      </c>
      <c r="D339" s="21" t="n">
        <v>46147</v>
      </c>
      <c r="E339" s="22" t="s">
        <v>32</v>
      </c>
      <c r="F339" s="16" t="n">
        <v>16.11</v>
      </c>
      <c r="G339" s="22" t="n">
        <v>2</v>
      </c>
      <c r="H339" s="23" t="n">
        <v>32.22</v>
      </c>
      <c r="I339" s="22" t="s">
        <v>387</v>
      </c>
    </row>
    <row r="340" customFormat="false" ht="15" hidden="false" customHeight="false" outlineLevel="0" collapsed="false">
      <c r="A340" s="0" t="s">
        <v>191</v>
      </c>
      <c r="B340" s="0" t="s">
        <v>192</v>
      </c>
      <c r="C340" s="0" t="s">
        <v>81</v>
      </c>
      <c r="D340" s="4" t="n">
        <v>46002</v>
      </c>
      <c r="E340" s="5" t="s">
        <v>20</v>
      </c>
      <c r="F340" s="14" t="n">
        <v>16.97</v>
      </c>
      <c r="G340" s="0" t="n">
        <v>2</v>
      </c>
      <c r="H340" s="6" t="n">
        <v>33.94</v>
      </c>
    </row>
    <row r="341" customFormat="false" ht="15" hidden="false" customHeight="false" outlineLevel="0" collapsed="false">
      <c r="A341" s="0" t="s">
        <v>191</v>
      </c>
      <c r="B341" s="0" t="s">
        <v>192</v>
      </c>
      <c r="C341" s="0" t="s">
        <v>81</v>
      </c>
      <c r="D341" s="4" t="n">
        <v>46037</v>
      </c>
      <c r="E341" s="5" t="s">
        <v>23</v>
      </c>
      <c r="F341" s="14" t="n">
        <v>15.97</v>
      </c>
      <c r="G341" s="0" t="n">
        <v>2</v>
      </c>
      <c r="H341" s="6" t="n">
        <v>31.94</v>
      </c>
    </row>
    <row r="342" customFormat="false" ht="15" hidden="false" customHeight="false" outlineLevel="0" collapsed="false">
      <c r="A342" s="0" t="s">
        <v>105</v>
      </c>
      <c r="B342" s="0" t="s">
        <v>106</v>
      </c>
      <c r="C342" s="0" t="s">
        <v>81</v>
      </c>
      <c r="D342" s="4" t="n">
        <v>45979</v>
      </c>
      <c r="E342" s="5" t="s">
        <v>13</v>
      </c>
      <c r="F342" s="14" t="n">
        <v>15.12</v>
      </c>
      <c r="G342" s="0" t="n">
        <v>1</v>
      </c>
      <c r="H342" s="6" t="n">
        <v>15.12</v>
      </c>
    </row>
    <row r="343" customFormat="false" ht="15" hidden="false" customHeight="false" outlineLevel="0" collapsed="false">
      <c r="A343" s="0" t="s">
        <v>105</v>
      </c>
      <c r="B343" s="0" t="s">
        <v>106</v>
      </c>
      <c r="C343" s="0" t="s">
        <v>81</v>
      </c>
      <c r="D343" s="4" t="n">
        <v>46083</v>
      </c>
      <c r="E343" s="5" t="s">
        <v>26</v>
      </c>
      <c r="F343" s="14" t="n">
        <v>13.99</v>
      </c>
      <c r="G343" s="0" t="n">
        <v>2</v>
      </c>
      <c r="H343" s="6" t="n">
        <v>27.98</v>
      </c>
    </row>
    <row r="344" customFormat="false" ht="15" hidden="false" customHeight="false" outlineLevel="0" collapsed="false">
      <c r="A344" s="0" t="s">
        <v>105</v>
      </c>
      <c r="B344" s="0" t="s">
        <v>106</v>
      </c>
      <c r="C344" s="0" t="s">
        <v>81</v>
      </c>
      <c r="D344" s="4" t="n">
        <v>46125</v>
      </c>
      <c r="E344" s="5" t="s">
        <v>31</v>
      </c>
      <c r="F344" s="14" t="n">
        <v>20.2</v>
      </c>
      <c r="G344" s="0" t="n">
        <v>1</v>
      </c>
      <c r="H344" s="6" t="n">
        <v>20.2</v>
      </c>
    </row>
    <row r="345" customFormat="false" ht="15" hidden="false" customHeight="false" outlineLevel="0" collapsed="false">
      <c r="A345" s="0" t="s">
        <v>105</v>
      </c>
      <c r="B345" s="0" t="s">
        <v>106</v>
      </c>
      <c r="C345" s="0" t="s">
        <v>81</v>
      </c>
      <c r="D345" s="4" t="n">
        <v>46147</v>
      </c>
      <c r="E345" s="5" t="s">
        <v>32</v>
      </c>
      <c r="F345" s="14" t="n">
        <v>20.64</v>
      </c>
      <c r="G345" s="0" t="n">
        <v>3</v>
      </c>
      <c r="H345" s="6" t="n">
        <v>61.92</v>
      </c>
    </row>
    <row r="346" customFormat="false" ht="15" hidden="false" customHeight="false" outlineLevel="0" collapsed="false">
      <c r="A346" s="22" t="s">
        <v>152</v>
      </c>
      <c r="B346" s="22" t="s">
        <v>153</v>
      </c>
      <c r="C346" s="22" t="s">
        <v>81</v>
      </c>
      <c r="D346" s="21" t="n">
        <v>45967</v>
      </c>
      <c r="E346" s="22" t="s">
        <v>11</v>
      </c>
      <c r="F346" s="16" t="n">
        <v>12.96</v>
      </c>
      <c r="G346" s="22" t="n">
        <v>1</v>
      </c>
      <c r="H346" s="23" t="n">
        <v>12.96</v>
      </c>
      <c r="I346" s="22" t="s">
        <v>387</v>
      </c>
    </row>
    <row r="347" customFormat="false" ht="15" hidden="false" customHeight="false" outlineLevel="0" collapsed="false">
      <c r="A347" s="22" t="s">
        <v>152</v>
      </c>
      <c r="B347" s="22" t="s">
        <v>153</v>
      </c>
      <c r="C347" s="22" t="s">
        <v>81</v>
      </c>
      <c r="D347" s="21" t="n">
        <v>45979</v>
      </c>
      <c r="E347" s="22" t="s">
        <v>13</v>
      </c>
      <c r="F347" s="16" t="n">
        <v>12.96</v>
      </c>
      <c r="G347" s="22" t="n">
        <v>1</v>
      </c>
      <c r="H347" s="23" t="n">
        <v>12.96</v>
      </c>
      <c r="I347" s="22" t="s">
        <v>387</v>
      </c>
    </row>
    <row r="348" customFormat="false" ht="15" hidden="false" customHeight="false" outlineLevel="0" collapsed="false">
      <c r="A348" s="22" t="s">
        <v>152</v>
      </c>
      <c r="B348" s="22" t="s">
        <v>153</v>
      </c>
      <c r="C348" s="22" t="s">
        <v>81</v>
      </c>
      <c r="D348" s="21" t="n">
        <v>46083</v>
      </c>
      <c r="E348" s="22" t="s">
        <v>26</v>
      </c>
      <c r="F348" s="16" t="n">
        <v>12.23</v>
      </c>
      <c r="G348" s="22" t="n">
        <v>1</v>
      </c>
      <c r="H348" s="23" t="n">
        <v>12.23</v>
      </c>
      <c r="I348" s="22" t="s">
        <v>387</v>
      </c>
    </row>
    <row r="349" customFormat="false" ht="15" hidden="false" customHeight="false" outlineLevel="0" collapsed="false">
      <c r="A349" s="22" t="s">
        <v>152</v>
      </c>
      <c r="B349" s="22" t="s">
        <v>153</v>
      </c>
      <c r="C349" s="22" t="s">
        <v>81</v>
      </c>
      <c r="D349" s="21" t="n">
        <v>46097</v>
      </c>
      <c r="E349" s="22" t="s">
        <v>27</v>
      </c>
      <c r="F349" s="16" t="n">
        <v>12.23</v>
      </c>
      <c r="G349" s="22" t="n">
        <v>2</v>
      </c>
      <c r="H349" s="23" t="n">
        <v>24.46</v>
      </c>
      <c r="I349" s="22" t="s">
        <v>387</v>
      </c>
    </row>
    <row r="350" customFormat="false" ht="15" hidden="false" customHeight="false" outlineLevel="0" collapsed="false">
      <c r="A350" s="0" t="s">
        <v>152</v>
      </c>
      <c r="B350" s="0" t="s">
        <v>153</v>
      </c>
      <c r="C350" s="0" t="s">
        <v>81</v>
      </c>
      <c r="D350" s="4" t="n">
        <v>46125</v>
      </c>
      <c r="E350" s="5" t="s">
        <v>31</v>
      </c>
      <c r="F350" s="14" t="n">
        <v>18.2</v>
      </c>
      <c r="G350" s="0" t="n">
        <v>2</v>
      </c>
      <c r="H350" s="6" t="n">
        <v>36.4</v>
      </c>
    </row>
    <row r="351" customFormat="false" ht="15" hidden="false" customHeight="false" outlineLevel="0" collapsed="false">
      <c r="A351" s="0" t="s">
        <v>154</v>
      </c>
      <c r="B351" s="0" t="s">
        <v>155</v>
      </c>
      <c r="C351" s="0" t="s">
        <v>81</v>
      </c>
      <c r="D351" s="4" t="n">
        <v>45967</v>
      </c>
      <c r="E351" s="5" t="s">
        <v>11</v>
      </c>
      <c r="F351" s="14" t="n">
        <v>12.26</v>
      </c>
      <c r="G351" s="0" t="n">
        <v>1</v>
      </c>
      <c r="H351" s="6" t="n">
        <v>12.26</v>
      </c>
    </row>
    <row r="352" customFormat="false" ht="15" hidden="false" customHeight="false" outlineLevel="0" collapsed="false">
      <c r="A352" s="0" t="s">
        <v>154</v>
      </c>
      <c r="B352" s="0" t="s">
        <v>155</v>
      </c>
      <c r="C352" s="0" t="s">
        <v>81</v>
      </c>
      <c r="D352" s="4" t="n">
        <v>45979</v>
      </c>
      <c r="E352" s="5" t="s">
        <v>13</v>
      </c>
      <c r="F352" s="14" t="n">
        <v>12.26</v>
      </c>
      <c r="G352" s="0" t="n">
        <v>1</v>
      </c>
      <c r="H352" s="6" t="n">
        <v>12.26</v>
      </c>
    </row>
    <row r="353" customFormat="false" ht="15" hidden="false" customHeight="false" outlineLevel="0" collapsed="false">
      <c r="A353" s="0" t="s">
        <v>154</v>
      </c>
      <c r="B353" s="0" t="s">
        <v>155</v>
      </c>
      <c r="C353" s="0" t="s">
        <v>81</v>
      </c>
      <c r="D353" s="4" t="n">
        <v>46083</v>
      </c>
      <c r="E353" s="5" t="s">
        <v>26</v>
      </c>
      <c r="F353" s="14" t="n">
        <v>12.02</v>
      </c>
      <c r="G353" s="0" t="n">
        <v>2</v>
      </c>
      <c r="H353" s="6" t="n">
        <v>24.04</v>
      </c>
    </row>
    <row r="354" customFormat="false" ht="15" hidden="false" customHeight="false" outlineLevel="0" collapsed="false">
      <c r="A354" s="0" t="s">
        <v>154</v>
      </c>
      <c r="B354" s="0" t="s">
        <v>155</v>
      </c>
      <c r="C354" s="0" t="s">
        <v>81</v>
      </c>
      <c r="D354" s="4" t="n">
        <v>46097</v>
      </c>
      <c r="E354" s="5" t="s">
        <v>27</v>
      </c>
      <c r="F354" s="14" t="n">
        <v>12.02</v>
      </c>
      <c r="G354" s="0" t="n">
        <v>1</v>
      </c>
      <c r="H354" s="6" t="n">
        <v>12.02</v>
      </c>
    </row>
    <row r="355" customFormat="false" ht="15" hidden="false" customHeight="false" outlineLevel="0" collapsed="false">
      <c r="A355" s="0" t="s">
        <v>154</v>
      </c>
      <c r="B355" s="0" t="s">
        <v>155</v>
      </c>
      <c r="C355" s="0" t="s">
        <v>81</v>
      </c>
      <c r="D355" s="4" t="n">
        <v>46147</v>
      </c>
      <c r="E355" s="5" t="s">
        <v>32</v>
      </c>
      <c r="F355" s="14" t="n">
        <v>16.88</v>
      </c>
      <c r="G355" s="0" t="n">
        <v>4</v>
      </c>
      <c r="H355" s="6" t="n">
        <v>67.52</v>
      </c>
    </row>
    <row r="356" customFormat="false" ht="15" hidden="false" customHeight="false" outlineLevel="0" collapsed="false">
      <c r="A356" s="0" t="s">
        <v>107</v>
      </c>
      <c r="B356" s="0" t="s">
        <v>108</v>
      </c>
      <c r="C356" s="0" t="s">
        <v>81</v>
      </c>
      <c r="D356" s="4" t="n">
        <v>45967</v>
      </c>
      <c r="E356" s="5" t="s">
        <v>11</v>
      </c>
      <c r="F356" s="14" t="n">
        <v>15.91</v>
      </c>
      <c r="G356" s="0" t="n">
        <v>1</v>
      </c>
      <c r="H356" s="6" t="n">
        <v>15.91</v>
      </c>
    </row>
    <row r="357" customFormat="false" ht="15" hidden="false" customHeight="false" outlineLevel="0" collapsed="false">
      <c r="A357" s="0" t="s">
        <v>107</v>
      </c>
      <c r="B357" s="0" t="s">
        <v>108</v>
      </c>
      <c r="C357" s="0" t="s">
        <v>81</v>
      </c>
      <c r="D357" s="4" t="n">
        <v>45979</v>
      </c>
      <c r="E357" s="5" t="s">
        <v>13</v>
      </c>
      <c r="F357" s="14" t="n">
        <v>15.91</v>
      </c>
      <c r="G357" s="0" t="n">
        <v>1</v>
      </c>
      <c r="H357" s="6" t="n">
        <v>15.91</v>
      </c>
    </row>
    <row r="358" customFormat="false" ht="15" hidden="false" customHeight="false" outlineLevel="0" collapsed="false">
      <c r="A358" s="0" t="s">
        <v>107</v>
      </c>
      <c r="B358" s="0" t="s">
        <v>108</v>
      </c>
      <c r="C358" s="0" t="s">
        <v>81</v>
      </c>
      <c r="D358" s="4" t="n">
        <v>46083</v>
      </c>
      <c r="E358" s="5" t="s">
        <v>26</v>
      </c>
      <c r="F358" s="14" t="n">
        <v>15.94</v>
      </c>
      <c r="G358" s="0" t="n">
        <v>1</v>
      </c>
      <c r="H358" s="6" t="n">
        <v>15.94</v>
      </c>
    </row>
    <row r="359" customFormat="false" ht="15" hidden="false" customHeight="false" outlineLevel="0" collapsed="false">
      <c r="A359" s="0" t="s">
        <v>107</v>
      </c>
      <c r="B359" s="0" t="s">
        <v>108</v>
      </c>
      <c r="C359" s="0" t="s">
        <v>81</v>
      </c>
      <c r="D359" s="4" t="n">
        <v>46097</v>
      </c>
      <c r="E359" s="5" t="s">
        <v>27</v>
      </c>
      <c r="F359" s="14" t="n">
        <v>15.99</v>
      </c>
      <c r="G359" s="0" t="n">
        <v>1</v>
      </c>
      <c r="H359" s="6" t="n">
        <v>15.99</v>
      </c>
    </row>
    <row r="360" customFormat="false" ht="15" hidden="false" customHeight="false" outlineLevel="0" collapsed="false">
      <c r="A360" s="22" t="s">
        <v>107</v>
      </c>
      <c r="B360" s="22" t="s">
        <v>108</v>
      </c>
      <c r="C360" s="22" t="s">
        <v>81</v>
      </c>
      <c r="D360" s="21" t="n">
        <v>46147</v>
      </c>
      <c r="E360" s="22" t="s">
        <v>32</v>
      </c>
      <c r="F360" s="16" t="n">
        <v>18.18</v>
      </c>
      <c r="G360" s="22" t="n">
        <v>4</v>
      </c>
      <c r="H360" s="23" t="n">
        <v>72.72</v>
      </c>
      <c r="I360" s="22" t="s">
        <v>387</v>
      </c>
    </row>
    <row r="361" customFormat="false" ht="15" hidden="false" customHeight="false" outlineLevel="0" collapsed="false">
      <c r="A361" s="22" t="s">
        <v>109</v>
      </c>
      <c r="B361" s="22" t="s">
        <v>110</v>
      </c>
      <c r="C361" s="22" t="s">
        <v>81</v>
      </c>
      <c r="D361" s="21" t="n">
        <v>45967</v>
      </c>
      <c r="E361" s="22" t="s">
        <v>11</v>
      </c>
      <c r="F361" s="16" t="n">
        <v>11.13</v>
      </c>
      <c r="G361" s="22" t="n">
        <v>1</v>
      </c>
      <c r="H361" s="23" t="n">
        <v>11.13</v>
      </c>
      <c r="I361" s="22" t="s">
        <v>387</v>
      </c>
    </row>
    <row r="362" customFormat="false" ht="15" hidden="false" customHeight="false" outlineLevel="0" collapsed="false">
      <c r="A362" s="22" t="s">
        <v>109</v>
      </c>
      <c r="B362" s="22" t="s">
        <v>110</v>
      </c>
      <c r="C362" s="22" t="s">
        <v>81</v>
      </c>
      <c r="D362" s="21" t="n">
        <v>45979</v>
      </c>
      <c r="E362" s="22" t="s">
        <v>13</v>
      </c>
      <c r="F362" s="16" t="n">
        <v>11.13</v>
      </c>
      <c r="G362" s="22" t="n">
        <v>1</v>
      </c>
      <c r="H362" s="23" t="n">
        <v>11.13</v>
      </c>
      <c r="I362" s="22" t="s">
        <v>387</v>
      </c>
    </row>
    <row r="363" customFormat="false" ht="15" hidden="false" customHeight="false" outlineLevel="0" collapsed="false">
      <c r="A363" s="22" t="s">
        <v>109</v>
      </c>
      <c r="B363" s="22" t="s">
        <v>110</v>
      </c>
      <c r="C363" s="22" t="s">
        <v>81</v>
      </c>
      <c r="D363" s="21" t="n">
        <v>46083</v>
      </c>
      <c r="E363" s="22" t="s">
        <v>26</v>
      </c>
      <c r="F363" s="16" t="n">
        <v>10.76</v>
      </c>
      <c r="G363" s="22" t="n">
        <v>2</v>
      </c>
      <c r="H363" s="23" t="n">
        <v>21.52</v>
      </c>
      <c r="I363" s="22" t="s">
        <v>387</v>
      </c>
    </row>
    <row r="364" customFormat="false" ht="15" hidden="false" customHeight="false" outlineLevel="0" collapsed="false">
      <c r="A364" s="22" t="s">
        <v>109</v>
      </c>
      <c r="B364" s="22" t="s">
        <v>110</v>
      </c>
      <c r="C364" s="22" t="s">
        <v>81</v>
      </c>
      <c r="D364" s="21" t="n">
        <v>46097</v>
      </c>
      <c r="E364" s="22" t="s">
        <v>27</v>
      </c>
      <c r="F364" s="16" t="n">
        <v>10.76</v>
      </c>
      <c r="G364" s="22" t="n">
        <v>1</v>
      </c>
      <c r="H364" s="23" t="n">
        <v>10.76</v>
      </c>
      <c r="I364" s="22" t="s">
        <v>387</v>
      </c>
    </row>
    <row r="365" customFormat="false" ht="15" hidden="false" customHeight="false" outlineLevel="0" collapsed="false">
      <c r="A365" s="0" t="s">
        <v>109</v>
      </c>
      <c r="B365" s="0" t="s">
        <v>110</v>
      </c>
      <c r="C365" s="0" t="s">
        <v>81</v>
      </c>
      <c r="D365" s="4" t="n">
        <v>46125</v>
      </c>
      <c r="E365" s="5" t="s">
        <v>31</v>
      </c>
      <c r="F365" s="14" t="n">
        <v>18.71</v>
      </c>
      <c r="G365" s="0" t="n">
        <v>2</v>
      </c>
      <c r="H365" s="6" t="n">
        <v>37.42</v>
      </c>
    </row>
    <row r="366" customFormat="false" ht="15" hidden="false" customHeight="false" outlineLevel="0" collapsed="false">
      <c r="A366" s="22" t="s">
        <v>109</v>
      </c>
      <c r="B366" s="22" t="s">
        <v>110</v>
      </c>
      <c r="C366" s="22" t="s">
        <v>81</v>
      </c>
      <c r="D366" s="21" t="n">
        <v>46147</v>
      </c>
      <c r="E366" s="22" t="s">
        <v>32</v>
      </c>
      <c r="F366" s="16" t="n">
        <v>14.68</v>
      </c>
      <c r="G366" s="22" t="n">
        <v>2</v>
      </c>
      <c r="H366" s="23" t="n">
        <v>29.36</v>
      </c>
      <c r="I366" s="22" t="s">
        <v>387</v>
      </c>
    </row>
    <row r="367" customFormat="false" ht="15" hidden="false" customHeight="false" outlineLevel="0" collapsed="false">
      <c r="A367" s="22" t="s">
        <v>111</v>
      </c>
      <c r="B367" s="22" t="s">
        <v>112</v>
      </c>
      <c r="C367" s="22" t="s">
        <v>81</v>
      </c>
      <c r="D367" s="21" t="n">
        <v>45967</v>
      </c>
      <c r="E367" s="22" t="s">
        <v>11</v>
      </c>
      <c r="F367" s="16" t="n">
        <v>12.18</v>
      </c>
      <c r="G367" s="22" t="n">
        <v>1</v>
      </c>
      <c r="H367" s="23" t="n">
        <v>12.18</v>
      </c>
      <c r="I367" s="22" t="s">
        <v>387</v>
      </c>
    </row>
    <row r="368" customFormat="false" ht="15" hidden="false" customHeight="false" outlineLevel="0" collapsed="false">
      <c r="A368" s="22" t="s">
        <v>111</v>
      </c>
      <c r="B368" s="22" t="s">
        <v>112</v>
      </c>
      <c r="C368" s="22" t="s">
        <v>81</v>
      </c>
      <c r="D368" s="21" t="n">
        <v>45979</v>
      </c>
      <c r="E368" s="22" t="s">
        <v>13</v>
      </c>
      <c r="F368" s="16" t="n">
        <v>12.18</v>
      </c>
      <c r="G368" s="22" t="n">
        <v>1</v>
      </c>
      <c r="H368" s="23" t="n">
        <v>12.18</v>
      </c>
      <c r="I368" s="22" t="s">
        <v>387</v>
      </c>
    </row>
    <row r="369" customFormat="false" ht="15" hidden="false" customHeight="false" outlineLevel="0" collapsed="false">
      <c r="A369" s="22" t="s">
        <v>111</v>
      </c>
      <c r="B369" s="22" t="s">
        <v>112</v>
      </c>
      <c r="C369" s="22" t="s">
        <v>81</v>
      </c>
      <c r="D369" s="21" t="n">
        <v>46083</v>
      </c>
      <c r="E369" s="22" t="s">
        <v>26</v>
      </c>
      <c r="F369" s="16" t="n">
        <v>12.38</v>
      </c>
      <c r="G369" s="22" t="n">
        <v>2</v>
      </c>
      <c r="H369" s="23" t="n">
        <v>24.76</v>
      </c>
      <c r="I369" s="22" t="s">
        <v>387</v>
      </c>
    </row>
    <row r="370" customFormat="false" ht="15" hidden="false" customHeight="false" outlineLevel="0" collapsed="false">
      <c r="A370" s="0" t="s">
        <v>111</v>
      </c>
      <c r="B370" s="0" t="s">
        <v>112</v>
      </c>
      <c r="C370" s="0" t="s">
        <v>81</v>
      </c>
      <c r="D370" s="4" t="n">
        <v>46125</v>
      </c>
      <c r="E370" s="5" t="s">
        <v>31</v>
      </c>
      <c r="F370" s="14" t="n">
        <v>20.71</v>
      </c>
      <c r="G370" s="0" t="n">
        <v>2</v>
      </c>
      <c r="H370" s="6" t="n">
        <v>41.42</v>
      </c>
    </row>
    <row r="371" customFormat="false" ht="15" hidden="false" customHeight="false" outlineLevel="0" collapsed="false">
      <c r="A371" s="22" t="s">
        <v>111</v>
      </c>
      <c r="B371" s="22" t="s">
        <v>112</v>
      </c>
      <c r="C371" s="22" t="s">
        <v>81</v>
      </c>
      <c r="D371" s="21" t="n">
        <v>46147</v>
      </c>
      <c r="E371" s="22" t="s">
        <v>32</v>
      </c>
      <c r="F371" s="16" t="n">
        <v>17.94</v>
      </c>
      <c r="G371" s="22" t="n">
        <v>2</v>
      </c>
      <c r="H371" s="23" t="n">
        <v>35.88</v>
      </c>
      <c r="I371" s="22" t="s">
        <v>387</v>
      </c>
    </row>
    <row r="372" customFormat="false" ht="15" hidden="false" customHeight="false" outlineLevel="0" collapsed="false">
      <c r="A372" s="22" t="s">
        <v>90</v>
      </c>
      <c r="B372" s="22" t="s">
        <v>91</v>
      </c>
      <c r="C372" s="22" t="s">
        <v>81</v>
      </c>
      <c r="D372" s="21" t="n">
        <v>45967</v>
      </c>
      <c r="E372" s="22" t="s">
        <v>11</v>
      </c>
      <c r="F372" s="16" t="n">
        <v>12.22</v>
      </c>
      <c r="G372" s="22" t="n">
        <v>1</v>
      </c>
      <c r="H372" s="23" t="n">
        <v>12.22</v>
      </c>
      <c r="I372" s="22" t="s">
        <v>387</v>
      </c>
    </row>
    <row r="373" customFormat="false" ht="15" hidden="false" customHeight="false" outlineLevel="0" collapsed="false">
      <c r="A373" s="22" t="s">
        <v>90</v>
      </c>
      <c r="B373" s="22" t="s">
        <v>91</v>
      </c>
      <c r="C373" s="22" t="s">
        <v>81</v>
      </c>
      <c r="D373" s="21" t="n">
        <v>45979</v>
      </c>
      <c r="E373" s="22" t="s">
        <v>13</v>
      </c>
      <c r="F373" s="16" t="n">
        <v>12.22</v>
      </c>
      <c r="G373" s="22" t="n">
        <v>1</v>
      </c>
      <c r="H373" s="23" t="n">
        <v>12.22</v>
      </c>
      <c r="I373" s="22" t="s">
        <v>387</v>
      </c>
    </row>
    <row r="374" customFormat="false" ht="15" hidden="false" customHeight="false" outlineLevel="0" collapsed="false">
      <c r="A374" s="0" t="s">
        <v>90</v>
      </c>
      <c r="B374" s="0" t="s">
        <v>91</v>
      </c>
      <c r="C374" s="0" t="s">
        <v>81</v>
      </c>
      <c r="D374" s="4" t="n">
        <v>46000</v>
      </c>
      <c r="E374" s="5" t="s">
        <v>19</v>
      </c>
      <c r="F374" s="14" t="n">
        <v>14.67</v>
      </c>
      <c r="G374" s="0" t="n">
        <v>1</v>
      </c>
      <c r="H374" s="6" t="n">
        <v>14.67</v>
      </c>
    </row>
    <row r="375" customFormat="false" ht="15" hidden="false" customHeight="false" outlineLevel="0" collapsed="false">
      <c r="A375" s="22" t="s">
        <v>90</v>
      </c>
      <c r="B375" s="22" t="s">
        <v>91</v>
      </c>
      <c r="C375" s="22" t="s">
        <v>81</v>
      </c>
      <c r="D375" s="21" t="n">
        <v>46083</v>
      </c>
      <c r="E375" s="22" t="s">
        <v>26</v>
      </c>
      <c r="F375" s="16" t="n">
        <v>12.42</v>
      </c>
      <c r="G375" s="22" t="n">
        <v>2</v>
      </c>
      <c r="H375" s="23" t="n">
        <v>24.84</v>
      </c>
      <c r="I375" s="22" t="s">
        <v>387</v>
      </c>
    </row>
    <row r="376" customFormat="false" ht="15" hidden="false" customHeight="false" outlineLevel="0" collapsed="false">
      <c r="A376" s="22" t="s">
        <v>90</v>
      </c>
      <c r="B376" s="22" t="s">
        <v>91</v>
      </c>
      <c r="C376" s="22" t="s">
        <v>81</v>
      </c>
      <c r="D376" s="21" t="n">
        <v>46097</v>
      </c>
      <c r="E376" s="22" t="s">
        <v>27</v>
      </c>
      <c r="F376" s="16" t="n">
        <v>12.42</v>
      </c>
      <c r="G376" s="22" t="n">
        <v>1</v>
      </c>
      <c r="H376" s="23" t="n">
        <v>12.42</v>
      </c>
      <c r="I376" s="22" t="s">
        <v>387</v>
      </c>
    </row>
    <row r="377" customFormat="false" ht="15" hidden="false" customHeight="false" outlineLevel="0" collapsed="false">
      <c r="A377" s="0" t="s">
        <v>90</v>
      </c>
      <c r="B377" s="0" t="s">
        <v>91</v>
      </c>
      <c r="C377" s="0" t="s">
        <v>81</v>
      </c>
      <c r="D377" s="4" t="n">
        <v>46125</v>
      </c>
      <c r="E377" s="5" t="s">
        <v>31</v>
      </c>
      <c r="F377" s="14" t="n">
        <v>19.58</v>
      </c>
      <c r="G377" s="0" t="n">
        <v>3</v>
      </c>
      <c r="H377" s="6" t="n">
        <v>58.74</v>
      </c>
    </row>
    <row r="378" customFormat="false" ht="15" hidden="false" customHeight="false" outlineLevel="0" collapsed="false">
      <c r="A378" s="22" t="s">
        <v>90</v>
      </c>
      <c r="B378" s="22" t="s">
        <v>91</v>
      </c>
      <c r="C378" s="22" t="s">
        <v>81</v>
      </c>
      <c r="D378" s="21" t="n">
        <v>46147</v>
      </c>
      <c r="E378" s="22" t="s">
        <v>32</v>
      </c>
      <c r="F378" s="16" t="n">
        <v>16.31</v>
      </c>
      <c r="G378" s="22" t="n">
        <v>2</v>
      </c>
      <c r="H378" s="23" t="n">
        <v>32.62</v>
      </c>
      <c r="I378" s="22" t="s">
        <v>387</v>
      </c>
    </row>
    <row r="379" customFormat="false" ht="15" hidden="false" customHeight="false" outlineLevel="0" collapsed="false">
      <c r="A379" s="0" t="s">
        <v>321</v>
      </c>
      <c r="B379" s="0" t="s">
        <v>322</v>
      </c>
      <c r="C379" s="0" t="s">
        <v>323</v>
      </c>
      <c r="D379" s="4" t="n">
        <v>46002</v>
      </c>
      <c r="E379" s="5" t="s">
        <v>20</v>
      </c>
      <c r="F379" s="14" t="n">
        <v>2.61</v>
      </c>
      <c r="G379" s="0" t="n">
        <v>22</v>
      </c>
      <c r="H379" s="6" t="n">
        <v>57.42</v>
      </c>
    </row>
    <row r="380" customFormat="false" ht="15" hidden="false" customHeight="false" outlineLevel="0" collapsed="false">
      <c r="A380" s="0" t="s">
        <v>321</v>
      </c>
      <c r="B380" s="0" t="s">
        <v>322</v>
      </c>
      <c r="C380" s="0" t="s">
        <v>323</v>
      </c>
      <c r="D380" s="4" t="n">
        <v>46007</v>
      </c>
      <c r="E380" s="5" t="s">
        <v>21</v>
      </c>
      <c r="F380" s="14" t="n">
        <v>2.61</v>
      </c>
      <c r="G380" s="0" t="n">
        <v>1</v>
      </c>
      <c r="H380" s="6" t="n">
        <v>2.61</v>
      </c>
    </row>
    <row r="381" customFormat="false" ht="15" hidden="false" customHeight="false" outlineLevel="0" collapsed="false">
      <c r="A381" s="0" t="s">
        <v>321</v>
      </c>
      <c r="B381" s="0" t="s">
        <v>322</v>
      </c>
      <c r="C381" s="0" t="s">
        <v>323</v>
      </c>
      <c r="D381" s="4" t="n">
        <v>46037</v>
      </c>
      <c r="E381" s="5" t="s">
        <v>23</v>
      </c>
      <c r="F381" s="14" t="n">
        <v>2.61</v>
      </c>
      <c r="G381" s="0" t="n">
        <v>11</v>
      </c>
      <c r="H381" s="6" t="n">
        <v>28.71</v>
      </c>
    </row>
    <row r="382" customFormat="false" ht="15" hidden="false" customHeight="false" outlineLevel="0" collapsed="false">
      <c r="A382" s="0" t="s">
        <v>324</v>
      </c>
      <c r="B382" s="0" t="s">
        <v>325</v>
      </c>
      <c r="C382" s="0" t="s">
        <v>323</v>
      </c>
      <c r="D382" s="4" t="n">
        <v>46037</v>
      </c>
      <c r="E382" s="5" t="s">
        <v>23</v>
      </c>
      <c r="F382" s="14" t="n">
        <v>2.59</v>
      </c>
      <c r="G382" s="0" t="n">
        <v>50</v>
      </c>
      <c r="H382" s="6" t="n">
        <v>129.5</v>
      </c>
    </row>
    <row r="383" customFormat="false" ht="15" hidden="false" customHeight="false" outlineLevel="0" collapsed="false">
      <c r="A383" s="0" t="s">
        <v>326</v>
      </c>
      <c r="B383" s="0" t="s">
        <v>327</v>
      </c>
      <c r="C383" s="0" t="s">
        <v>328</v>
      </c>
      <c r="D383" s="4" t="n">
        <v>46002</v>
      </c>
      <c r="E383" s="5" t="s">
        <v>20</v>
      </c>
      <c r="F383" s="14" t="n">
        <v>16.19</v>
      </c>
      <c r="G383" s="0" t="n">
        <v>1</v>
      </c>
      <c r="H383" s="6" t="n">
        <v>16.19</v>
      </c>
    </row>
    <row r="384" customFormat="false" ht="15" hidden="false" customHeight="false" outlineLevel="0" collapsed="false">
      <c r="A384" s="0" t="s">
        <v>329</v>
      </c>
      <c r="B384" s="0" t="s">
        <v>330</v>
      </c>
      <c r="C384" s="0" t="s">
        <v>328</v>
      </c>
      <c r="D384" s="4" t="n">
        <v>46000</v>
      </c>
      <c r="E384" s="5" t="s">
        <v>19</v>
      </c>
      <c r="F384" s="14" t="n">
        <v>3.18</v>
      </c>
      <c r="G384" s="0" t="n">
        <v>1</v>
      </c>
      <c r="H384" s="6" t="n">
        <v>3.18</v>
      </c>
    </row>
    <row r="385" customFormat="false" ht="15" hidden="false" customHeight="false" outlineLevel="0" collapsed="false">
      <c r="A385" s="0" t="s">
        <v>331</v>
      </c>
      <c r="B385" s="0" t="s">
        <v>332</v>
      </c>
      <c r="C385" s="0" t="s">
        <v>328</v>
      </c>
      <c r="D385" s="4" t="n">
        <v>45979</v>
      </c>
      <c r="E385" s="5" t="s">
        <v>13</v>
      </c>
      <c r="F385" s="14" t="n">
        <v>8.19</v>
      </c>
      <c r="G385" s="0" t="n">
        <v>3</v>
      </c>
      <c r="H385" s="6" t="n">
        <v>24.57</v>
      </c>
    </row>
    <row r="386" customFormat="false" ht="15" hidden="false" customHeight="false" outlineLevel="0" collapsed="false">
      <c r="A386" s="0" t="s">
        <v>333</v>
      </c>
      <c r="B386" s="0" t="s">
        <v>334</v>
      </c>
      <c r="C386" s="0" t="s">
        <v>328</v>
      </c>
      <c r="D386" s="4" t="n">
        <v>46000</v>
      </c>
      <c r="E386" s="5" t="s">
        <v>19</v>
      </c>
      <c r="F386" s="14" t="n">
        <v>5.4</v>
      </c>
      <c r="G386" s="0" t="n">
        <v>3</v>
      </c>
      <c r="H386" s="6" t="n">
        <v>16.2</v>
      </c>
    </row>
    <row r="387" customFormat="false" ht="15" hidden="false" customHeight="false" outlineLevel="0" collapsed="false">
      <c r="A387" s="0" t="s">
        <v>335</v>
      </c>
      <c r="B387" s="0" t="s">
        <v>336</v>
      </c>
      <c r="C387" s="0" t="s">
        <v>328</v>
      </c>
      <c r="D387" s="4" t="n">
        <v>46097</v>
      </c>
      <c r="E387" s="5" t="s">
        <v>27</v>
      </c>
      <c r="F387" s="14" t="n">
        <v>4.74</v>
      </c>
      <c r="G387" s="0" t="n">
        <v>1</v>
      </c>
      <c r="H387" s="6" t="n">
        <v>4.74</v>
      </c>
    </row>
    <row r="388" customFormat="false" ht="15" hidden="false" customHeight="false" outlineLevel="0" collapsed="false">
      <c r="A388" s="0" t="s">
        <v>337</v>
      </c>
      <c r="B388" s="0" t="s">
        <v>338</v>
      </c>
      <c r="C388" s="0" t="s">
        <v>339</v>
      </c>
      <c r="D388" s="4" t="n">
        <v>46038</v>
      </c>
      <c r="E388" s="5" t="s">
        <v>24</v>
      </c>
      <c r="F388" s="14" t="n">
        <v>15.49</v>
      </c>
      <c r="G388" s="0" t="n">
        <v>1</v>
      </c>
      <c r="H388" s="6" t="n">
        <v>15.49</v>
      </c>
    </row>
    <row r="389" customFormat="false" ht="15" hidden="false" customHeight="false" outlineLevel="0" collapsed="false">
      <c r="A389" s="0" t="s">
        <v>340</v>
      </c>
      <c r="B389" s="0" t="s">
        <v>341</v>
      </c>
      <c r="C389" s="0" t="s">
        <v>339</v>
      </c>
      <c r="D389" s="4" t="n">
        <v>45995</v>
      </c>
      <c r="E389" s="5" t="s">
        <v>18</v>
      </c>
      <c r="F389" s="14" t="n">
        <v>23.93</v>
      </c>
      <c r="G389" s="0" t="n">
        <v>1</v>
      </c>
      <c r="H389" s="6" t="n">
        <v>23.93</v>
      </c>
    </row>
    <row r="390" customFormat="false" ht="15" hidden="false" customHeight="false" outlineLevel="0" collapsed="false">
      <c r="A390" s="0" t="s">
        <v>340</v>
      </c>
      <c r="B390" s="0" t="s">
        <v>341</v>
      </c>
      <c r="C390" s="0" t="s">
        <v>339</v>
      </c>
      <c r="D390" s="4" t="n">
        <v>46002</v>
      </c>
      <c r="E390" s="5" t="s">
        <v>20</v>
      </c>
      <c r="F390" s="14" t="n">
        <v>23.93</v>
      </c>
      <c r="G390" s="0" t="n">
        <v>1</v>
      </c>
      <c r="H390" s="6" t="n">
        <v>23.93</v>
      </c>
    </row>
    <row r="391" customFormat="false" ht="15" hidden="false" customHeight="false" outlineLevel="0" collapsed="false">
      <c r="A391" s="0" t="s">
        <v>342</v>
      </c>
      <c r="B391" s="0" t="s">
        <v>343</v>
      </c>
      <c r="C391" s="0" t="s">
        <v>339</v>
      </c>
      <c r="D391" s="4" t="n">
        <v>46002</v>
      </c>
      <c r="E391" s="5" t="s">
        <v>20</v>
      </c>
      <c r="F391" s="14" t="n">
        <v>15.2</v>
      </c>
      <c r="G391" s="0" t="n">
        <v>2</v>
      </c>
      <c r="H391" s="6" t="n">
        <v>30.4</v>
      </c>
    </row>
    <row r="392" customFormat="false" ht="15" hidden="false" customHeight="false" outlineLevel="0" collapsed="false">
      <c r="A392" s="0" t="s">
        <v>344</v>
      </c>
      <c r="B392" s="0" t="s">
        <v>345</v>
      </c>
      <c r="C392" s="0" t="s">
        <v>339</v>
      </c>
      <c r="D392" s="4" t="n">
        <v>46002</v>
      </c>
      <c r="E392" s="5" t="s">
        <v>20</v>
      </c>
      <c r="F392" s="14" t="n">
        <v>8.49</v>
      </c>
      <c r="G392" s="0" t="n">
        <v>1</v>
      </c>
      <c r="H392" s="6" t="n">
        <v>8.49</v>
      </c>
    </row>
    <row r="393" customFormat="false" ht="15" hidden="false" customHeight="false" outlineLevel="0" collapsed="false">
      <c r="A393" s="0" t="s">
        <v>346</v>
      </c>
      <c r="B393" s="0" t="s">
        <v>347</v>
      </c>
      <c r="C393" s="0" t="s">
        <v>348</v>
      </c>
      <c r="D393" s="4" t="n">
        <v>46007</v>
      </c>
      <c r="E393" s="5" t="s">
        <v>21</v>
      </c>
      <c r="F393" s="14" t="n">
        <v>6.6</v>
      </c>
      <c r="G393" s="0" t="n">
        <v>3</v>
      </c>
      <c r="H393" s="6" t="n">
        <v>19.8</v>
      </c>
    </row>
    <row r="394" customFormat="false" ht="15" hidden="false" customHeight="false" outlineLevel="0" collapsed="false">
      <c r="A394" s="0" t="s">
        <v>346</v>
      </c>
      <c r="B394" s="0" t="s">
        <v>347</v>
      </c>
      <c r="C394" s="0" t="s">
        <v>348</v>
      </c>
      <c r="D394" s="4" t="n">
        <v>46037</v>
      </c>
      <c r="E394" s="5" t="s">
        <v>23</v>
      </c>
      <c r="F394" s="14" t="n">
        <v>6.6</v>
      </c>
      <c r="G394" s="0" t="n">
        <v>5</v>
      </c>
      <c r="H394" s="6" t="n">
        <v>33</v>
      </c>
    </row>
    <row r="395" customFormat="false" ht="15" hidden="false" customHeight="false" outlineLevel="0" collapsed="false">
      <c r="A395" s="0" t="s">
        <v>349</v>
      </c>
      <c r="B395" s="0" t="s">
        <v>350</v>
      </c>
      <c r="C395" s="0" t="s">
        <v>348</v>
      </c>
      <c r="D395" s="4" t="n">
        <v>46002</v>
      </c>
      <c r="E395" s="5" t="s">
        <v>20</v>
      </c>
      <c r="F395" s="14" t="n">
        <v>10.66</v>
      </c>
      <c r="G395" s="0" t="n">
        <v>1</v>
      </c>
      <c r="H395" s="6" t="n">
        <v>10.66</v>
      </c>
    </row>
    <row r="396" customFormat="false" ht="15" hidden="false" customHeight="false" outlineLevel="0" collapsed="false">
      <c r="A396" s="0" t="s">
        <v>351</v>
      </c>
      <c r="B396" s="0" t="s">
        <v>352</v>
      </c>
      <c r="D396" s="4" t="n">
        <v>46002</v>
      </c>
      <c r="E396" s="5" t="s">
        <v>20</v>
      </c>
      <c r="F396" s="14" t="n">
        <v>7.25</v>
      </c>
      <c r="G396" s="0" t="n">
        <v>4</v>
      </c>
      <c r="H396" s="6" t="n">
        <v>29</v>
      </c>
    </row>
    <row r="397" customFormat="false" ht="15" hidden="false" customHeight="false" outlineLevel="0" collapsed="false">
      <c r="A397" s="0" t="s">
        <v>351</v>
      </c>
      <c r="B397" s="0" t="s">
        <v>352</v>
      </c>
      <c r="D397" s="4" t="n">
        <v>46038</v>
      </c>
      <c r="E397" s="5" t="s">
        <v>24</v>
      </c>
      <c r="F397" s="14" t="n">
        <v>7.25</v>
      </c>
      <c r="G397" s="0" t="n">
        <v>2</v>
      </c>
      <c r="H397" s="6" t="n">
        <v>14.5</v>
      </c>
    </row>
    <row r="398" customFormat="false" ht="15" hidden="false" customHeight="false" outlineLevel="0" collapsed="false">
      <c r="A398" s="0" t="s">
        <v>353</v>
      </c>
      <c r="B398" s="0" t="s">
        <v>354</v>
      </c>
      <c r="D398" s="4" t="n">
        <v>46002</v>
      </c>
      <c r="E398" s="5" t="s">
        <v>20</v>
      </c>
      <c r="F398" s="14" t="n">
        <v>8.25</v>
      </c>
      <c r="G398" s="0" t="n">
        <v>4</v>
      </c>
      <c r="H398" s="6" t="n">
        <v>33</v>
      </c>
    </row>
    <row r="399" customFormat="false" ht="15" hidden="false" customHeight="false" outlineLevel="0" collapsed="false">
      <c r="A399" s="0" t="s">
        <v>353</v>
      </c>
      <c r="B399" s="0" t="s">
        <v>354</v>
      </c>
      <c r="D399" s="4" t="n">
        <v>46038</v>
      </c>
      <c r="E399" s="5" t="s">
        <v>24</v>
      </c>
      <c r="F399" s="14" t="n">
        <v>8.25</v>
      </c>
      <c r="G399" s="0" t="n">
        <v>2</v>
      </c>
      <c r="H399" s="6" t="n">
        <v>16.5</v>
      </c>
    </row>
    <row r="400" customFormat="false" ht="15" hidden="false" customHeight="false" outlineLevel="0" collapsed="false">
      <c r="A400" s="0" t="s">
        <v>355</v>
      </c>
      <c r="B400" s="0" t="s">
        <v>356</v>
      </c>
      <c r="D400" s="4" t="n">
        <v>45986</v>
      </c>
      <c r="E400" s="5" t="s">
        <v>15</v>
      </c>
      <c r="F400" s="14" t="n">
        <v>3.47</v>
      </c>
      <c r="G400" s="0" t="n">
        <v>1</v>
      </c>
      <c r="H400" s="6" t="n">
        <v>3.47</v>
      </c>
    </row>
    <row r="401" customFormat="false" ht="15" hidden="false" customHeight="false" outlineLevel="0" collapsed="false">
      <c r="A401" s="0" t="s">
        <v>357</v>
      </c>
      <c r="B401" s="0" t="s">
        <v>358</v>
      </c>
      <c r="D401" s="4" t="n">
        <v>45967</v>
      </c>
      <c r="E401" s="5" t="s">
        <v>11</v>
      </c>
      <c r="F401" s="14" t="n">
        <v>15.01</v>
      </c>
      <c r="G401" s="0" t="n">
        <v>1</v>
      </c>
      <c r="H401" s="6" t="n">
        <v>15.01</v>
      </c>
    </row>
    <row r="402" customFormat="false" ht="15" hidden="false" customHeight="false" outlineLevel="0" collapsed="false">
      <c r="A402" s="0" t="s">
        <v>357</v>
      </c>
      <c r="B402" s="0" t="s">
        <v>358</v>
      </c>
      <c r="D402" s="4" t="n">
        <v>45979</v>
      </c>
      <c r="E402" s="5" t="s">
        <v>13</v>
      </c>
      <c r="F402" s="14" t="n">
        <v>15.01</v>
      </c>
      <c r="G402" s="0" t="n">
        <v>2</v>
      </c>
      <c r="H402" s="6" t="n">
        <v>30.02</v>
      </c>
    </row>
    <row r="403" customFormat="false" ht="15" hidden="false" customHeight="false" outlineLevel="0" collapsed="false">
      <c r="A403" s="22" t="s">
        <v>359</v>
      </c>
      <c r="B403" s="22" t="s">
        <v>360</v>
      </c>
      <c r="C403" s="22"/>
      <c r="D403" s="21" t="n">
        <v>46007</v>
      </c>
      <c r="E403" s="22" t="s">
        <v>21</v>
      </c>
      <c r="F403" s="16" t="n">
        <v>4.65</v>
      </c>
      <c r="G403" s="22" t="n">
        <v>1</v>
      </c>
      <c r="H403" s="23" t="n">
        <v>4.65</v>
      </c>
      <c r="I403" s="22" t="s">
        <v>387</v>
      </c>
    </row>
    <row r="404" customFormat="false" ht="15" hidden="false" customHeight="false" outlineLevel="0" collapsed="false">
      <c r="A404" s="0" t="s">
        <v>361</v>
      </c>
      <c r="B404" s="0" t="s">
        <v>362</v>
      </c>
      <c r="D404" s="4" t="n">
        <v>46007</v>
      </c>
      <c r="E404" s="5" t="s">
        <v>21</v>
      </c>
      <c r="F404" s="14" t="n">
        <v>3.05</v>
      </c>
      <c r="G404" s="0" t="n">
        <v>1</v>
      </c>
      <c r="H404" s="6" t="n">
        <v>3.05</v>
      </c>
    </row>
    <row r="405" customFormat="false" ht="15" hidden="false" customHeight="false" outlineLevel="0" collapsed="false">
      <c r="A405" s="0" t="s">
        <v>363</v>
      </c>
      <c r="B405" s="0" t="s">
        <v>364</v>
      </c>
      <c r="D405" s="4" t="n">
        <v>46007</v>
      </c>
      <c r="E405" s="5" t="s">
        <v>21</v>
      </c>
      <c r="F405" s="14" t="n">
        <v>10.37</v>
      </c>
      <c r="G405" s="0" t="n">
        <v>1</v>
      </c>
      <c r="H405" s="6" t="n">
        <v>10.37</v>
      </c>
    </row>
    <row r="406" customFormat="false" ht="15" hidden="false" customHeight="false" outlineLevel="0" collapsed="false">
      <c r="A406" s="0" t="s">
        <v>363</v>
      </c>
      <c r="B406" s="0" t="s">
        <v>364</v>
      </c>
      <c r="D406" s="4" t="n">
        <v>46037</v>
      </c>
      <c r="E406" s="5" t="s">
        <v>23</v>
      </c>
      <c r="F406" s="14" t="n">
        <v>10.37</v>
      </c>
      <c r="G406" s="0" t="n">
        <v>2</v>
      </c>
      <c r="H406" s="6" t="n">
        <v>20.74</v>
      </c>
    </row>
    <row r="407" customFormat="false" ht="15" hidden="false" customHeight="false" outlineLevel="0" collapsed="false">
      <c r="A407" s="0" t="s">
        <v>365</v>
      </c>
      <c r="B407" s="0" t="s">
        <v>366</v>
      </c>
      <c r="D407" s="4" t="n">
        <v>46120</v>
      </c>
      <c r="E407" s="5" t="s">
        <v>30</v>
      </c>
      <c r="F407" s="14" t="n">
        <v>19.99</v>
      </c>
      <c r="G407" s="0" t="n">
        <v>1</v>
      </c>
      <c r="H407" s="6" t="n">
        <v>19.99</v>
      </c>
    </row>
    <row r="408" customFormat="false" ht="15" hidden="false" customHeight="false" outlineLevel="0" collapsed="false">
      <c r="A408" s="0" t="s">
        <v>367</v>
      </c>
      <c r="B408" s="0" t="s">
        <v>368</v>
      </c>
      <c r="D408" s="4" t="n">
        <v>45979</v>
      </c>
      <c r="E408" s="5" t="s">
        <v>13</v>
      </c>
      <c r="F408" s="14" t="n">
        <v>17.45</v>
      </c>
      <c r="G408" s="0" t="n">
        <v>1</v>
      </c>
      <c r="H408" s="6" t="n">
        <v>17.45</v>
      </c>
    </row>
    <row r="409" customFormat="false" ht="15" hidden="false" customHeight="false" outlineLevel="0" collapsed="false">
      <c r="A409" s="0" t="s">
        <v>193</v>
      </c>
      <c r="B409" s="0" t="s">
        <v>194</v>
      </c>
      <c r="D409" s="4" t="n">
        <v>45967</v>
      </c>
      <c r="E409" s="5" t="s">
        <v>11</v>
      </c>
      <c r="F409" s="14" t="n">
        <v>13.95</v>
      </c>
      <c r="G409" s="0" t="n">
        <v>1</v>
      </c>
      <c r="H409" s="6" t="n">
        <v>13.95</v>
      </c>
    </row>
    <row r="410" customFormat="false" ht="15" hidden="false" customHeight="false" outlineLevel="0" collapsed="false">
      <c r="A410" s="0" t="s">
        <v>193</v>
      </c>
      <c r="B410" s="0" t="s">
        <v>194</v>
      </c>
      <c r="D410" s="4" t="n">
        <v>45979</v>
      </c>
      <c r="E410" s="5" t="s">
        <v>13</v>
      </c>
      <c r="F410" s="14" t="n">
        <v>13.95</v>
      </c>
      <c r="G410" s="0" t="n">
        <v>1</v>
      </c>
      <c r="H410" s="6" t="n">
        <v>13.95</v>
      </c>
    </row>
    <row r="411" customFormat="false" ht="15" hidden="false" customHeight="false" outlineLevel="0" collapsed="false">
      <c r="A411" s="0" t="s">
        <v>193</v>
      </c>
      <c r="B411" s="0" t="s">
        <v>194</v>
      </c>
      <c r="D411" s="4" t="n">
        <v>46083</v>
      </c>
      <c r="E411" s="5" t="s">
        <v>26</v>
      </c>
      <c r="F411" s="14" t="n">
        <v>14.2</v>
      </c>
      <c r="G411" s="0" t="n">
        <v>2</v>
      </c>
      <c r="H411" s="6" t="n">
        <v>28.4</v>
      </c>
    </row>
    <row r="412" customFormat="false" ht="15" hidden="false" customHeight="false" outlineLevel="0" collapsed="false">
      <c r="A412" s="0" t="s">
        <v>193</v>
      </c>
      <c r="B412" s="0" t="s">
        <v>194</v>
      </c>
      <c r="D412" s="4" t="n">
        <v>46097</v>
      </c>
      <c r="E412" s="5" t="s">
        <v>27</v>
      </c>
      <c r="F412" s="14" t="n">
        <v>14.2</v>
      </c>
      <c r="G412" s="0" t="n">
        <v>1</v>
      </c>
      <c r="H412" s="6" t="n">
        <v>14.2</v>
      </c>
    </row>
    <row r="413" customFormat="false" ht="15" hidden="false" customHeight="false" outlineLevel="0" collapsed="false">
      <c r="A413" s="0" t="s">
        <v>195</v>
      </c>
      <c r="B413" s="0" t="s">
        <v>196</v>
      </c>
      <c r="D413" s="4" t="n">
        <v>45967</v>
      </c>
      <c r="E413" s="5" t="s">
        <v>11</v>
      </c>
      <c r="F413" s="14" t="n">
        <v>16.49</v>
      </c>
      <c r="G413" s="0" t="n">
        <v>1</v>
      </c>
      <c r="H413" s="6" t="n">
        <v>16.49</v>
      </c>
    </row>
    <row r="414" customFormat="false" ht="15" hidden="false" customHeight="false" outlineLevel="0" collapsed="false">
      <c r="A414" s="0" t="s">
        <v>195</v>
      </c>
      <c r="B414" s="0" t="s">
        <v>196</v>
      </c>
      <c r="D414" s="4" t="n">
        <v>45979</v>
      </c>
      <c r="E414" s="5" t="s">
        <v>13</v>
      </c>
      <c r="F414" s="14" t="n">
        <v>16.49</v>
      </c>
      <c r="G414" s="0" t="n">
        <v>1</v>
      </c>
      <c r="H414" s="6" t="n">
        <v>16.49</v>
      </c>
    </row>
    <row r="415" customFormat="false" ht="15" hidden="false" customHeight="false" outlineLevel="0" collapsed="false">
      <c r="A415" s="0" t="s">
        <v>195</v>
      </c>
      <c r="B415" s="0" t="s">
        <v>196</v>
      </c>
      <c r="D415" s="4" t="n">
        <v>46097</v>
      </c>
      <c r="E415" s="5" t="s">
        <v>27</v>
      </c>
      <c r="F415" s="14" t="n">
        <v>16.58</v>
      </c>
      <c r="G415" s="0" t="n">
        <v>2</v>
      </c>
      <c r="H415" s="6" t="n">
        <v>33.16</v>
      </c>
    </row>
    <row r="416" customFormat="false" ht="15" hidden="false" customHeight="false" outlineLevel="0" collapsed="false">
      <c r="A416" s="0" t="s">
        <v>369</v>
      </c>
      <c r="B416" s="0" t="s">
        <v>370</v>
      </c>
      <c r="D416" s="4" t="n">
        <v>45986</v>
      </c>
      <c r="E416" s="5" t="s">
        <v>17</v>
      </c>
      <c r="F416" s="14" t="n">
        <v>7.74</v>
      </c>
      <c r="G416" s="0" t="n">
        <v>1</v>
      </c>
      <c r="H416" s="6" t="n">
        <v>7.74</v>
      </c>
    </row>
  </sheetData>
  <autoFilter ref="A4:I416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2026-05-06T09:25:17Z</dcterms:created>
  <dc:creator>openpyxl</dc:creator>
  <dc:description/>
  <dc:language>en-US</dc:language>
  <cp:lastModifiedBy/>
  <dcterms:modified xsi:type="dcterms:W3CDTF">2026-05-06T09:25:17Z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